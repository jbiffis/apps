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Total Prize Money 2025" sheetId="2" r:id="rId6"/>
    <sheet name="Leaderboard 2025 - PivotTable1" sheetId="3" r:id="rId7"/>
    <sheet name="Leaderboard 2025 - Table 1" sheetId="4" r:id="rId8"/>
    <sheet name="Tournament 1 - PivotTable3" sheetId="5" r:id="rId9"/>
    <sheet name="Tournament 1 - Table 1" sheetId="6" r:id="rId10"/>
    <sheet name="Tournament 2 - PivotTable4" sheetId="7" r:id="rId11"/>
    <sheet name="Tournament 2 - Table 1" sheetId="8" r:id="rId12"/>
    <sheet name="Tournament 3 - PivotTable4" sheetId="9" r:id="rId13"/>
    <sheet name="Tournament 3 - Table 1" sheetId="10" r:id="rId14"/>
    <sheet name="Handicap Summary" sheetId="11" r:id="rId15"/>
    <sheet name="Wk1and2" sheetId="12" r:id="rId16"/>
    <sheet name="New Adj Cap" sheetId="13" r:id="rId17"/>
  </sheets>
  <pivotCaches>
    <pivotCache cacheId="0" r:id="rId18"/>
    <pivotCache cacheId="1" r:id="rId19"/>
    <pivotCache cacheId="2" r:id="rId20"/>
    <pivotCache cacheId="3" r:id="rId21"/>
  </pivotCache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<sst xmlns="http://schemas.openxmlformats.org/spreadsheetml/2006/main" uniqueCount="123">
  <si>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</si>
  <si>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</si>
  <si>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</si>
  <si>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</si>
  <si>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Total Prize Money 2025</t>
  </si>
  <si>
    <t>Table 1</t>
  </si>
  <si>
    <t>Player</t>
  </si>
  <si>
    <t>Tourney $</t>
  </si>
  <si>
    <t>Closest Too</t>
  </si>
  <si>
    <t>Total</t>
  </si>
  <si>
    <t>Cody</t>
  </si>
  <si>
    <t>Lindsay</t>
  </si>
  <si>
    <t>Lance</t>
  </si>
  <si>
    <t>Shea</t>
  </si>
  <si>
    <t>Tim</t>
  </si>
  <si>
    <t>Sonat</t>
  </si>
  <si>
    <t>Jeremy</t>
  </si>
  <si>
    <t>Jordan</t>
  </si>
  <si>
    <t>Leaderboard 2025</t>
  </si>
  <si>
    <t>PivotTable1</t>
  </si>
  <si>
    <t>Leaderboard 2025 - PivotTable1</t>
  </si>
  <si>
    <t>Total (Sum)</t>
  </si>
  <si>
    <t>Grand Total</t>
  </si>
  <si>
    <t>Leaderboard 2025 - Table 1</t>
  </si>
  <si>
    <t>Tournament 1</t>
  </si>
  <si>
    <t>Week 1</t>
  </si>
  <si>
    <t>Points</t>
  </si>
  <si>
    <t>Week 2</t>
  </si>
  <si>
    <t>Week 3</t>
  </si>
  <si>
    <t>Week 4</t>
  </si>
  <si>
    <t>Week 5</t>
  </si>
  <si>
    <t>Week 6</t>
  </si>
  <si>
    <t>Week 7</t>
  </si>
  <si>
    <t>Week 8</t>
  </si>
  <si>
    <t>Week 9</t>
  </si>
  <si>
    <t>Week 10</t>
  </si>
  <si>
    <t>Week 11</t>
  </si>
  <si>
    <t>Week 12</t>
  </si>
  <si>
    <t>Week 13</t>
  </si>
  <si>
    <t>Week 14</t>
  </si>
  <si>
    <t>Week 15</t>
  </si>
  <si>
    <t>Week 16</t>
  </si>
  <si>
    <t>Week 17</t>
  </si>
  <si>
    <t>Week 18</t>
  </si>
  <si>
    <t>-</t>
  </si>
  <si>
    <t>winner</t>
  </si>
  <si>
    <t>0,9</t>
  </si>
  <si>
    <t>Tournament 2</t>
  </si>
  <si>
    <t>Tournament 3</t>
  </si>
  <si>
    <t>PivotTable3</t>
  </si>
  <si>
    <t>Tournament 1 - PivotTable3</t>
  </si>
  <si>
    <t>Tournament 1 - Table 1</t>
  </si>
  <si>
    <t>*split points if tied*</t>
  </si>
  <si>
    <t>1st</t>
  </si>
  <si>
    <t>2nd</t>
  </si>
  <si>
    <t>3rd</t>
  </si>
  <si>
    <t>4th</t>
  </si>
  <si>
    <t>5th</t>
  </si>
  <si>
    <t>6th</t>
  </si>
  <si>
    <t>7th</t>
  </si>
  <si>
    <t>8th</t>
  </si>
  <si>
    <t>Grove XXIII</t>
  </si>
  <si>
    <t>Handicap</t>
  </si>
  <si>
    <t>Score</t>
  </si>
  <si>
    <t>Par</t>
  </si>
  <si>
    <t>210 yrd</t>
  </si>
  <si>
    <t>155 yrd</t>
  </si>
  <si>
    <t>193 yrd</t>
  </si>
  <si>
    <t>126 yrd</t>
  </si>
  <si>
    <t>TPC Scottdale</t>
  </si>
  <si>
    <t>147 yrd</t>
  </si>
  <si>
    <t>114 yrd</t>
  </si>
  <si>
    <t>Wynn</t>
  </si>
  <si>
    <t>116 yrd</t>
  </si>
  <si>
    <t>140 yrd</t>
  </si>
  <si>
    <t>PivotTable4</t>
  </si>
  <si>
    <t>Tournament 2 - PivotTable4</t>
  </si>
  <si>
    <t>Tournament 2 - Table 1</t>
  </si>
  <si>
    <t>Cypress Point</t>
  </si>
  <si>
    <t>156 yrd</t>
  </si>
  <si>
    <t>166 yrd</t>
  </si>
  <si>
    <t>121 yrd</t>
  </si>
  <si>
    <t>217 yrd</t>
  </si>
  <si>
    <t>The Dunes</t>
  </si>
  <si>
    <t>131 yrd</t>
  </si>
  <si>
    <t>119 yrd</t>
  </si>
  <si>
    <t>144 yrd</t>
  </si>
  <si>
    <t>139 yrd</t>
  </si>
  <si>
    <t>Whisler Nickalaus</t>
  </si>
  <si>
    <t>162 yrd</t>
  </si>
  <si>
    <t>130 yrd</t>
  </si>
  <si>
    <t>137 yrd</t>
  </si>
  <si>
    <t>167 yrd</t>
  </si>
  <si>
    <t>186 yrd</t>
  </si>
  <si>
    <t>Tournament 3 - PivotTable4</t>
  </si>
  <si>
    <t>Tournament 3 - Table 1</t>
  </si>
  <si>
    <t>Mattaponi Springs</t>
  </si>
  <si>
    <t>115 yrd</t>
  </si>
  <si>
    <t>158 yrd</t>
  </si>
  <si>
    <t>189 yrd</t>
  </si>
  <si>
    <t>136 yrd</t>
  </si>
  <si>
    <t>Augusta</t>
  </si>
  <si>
    <t>226 yrd</t>
  </si>
  <si>
    <t>173 yrd</t>
  </si>
  <si>
    <t>Cabot Cliff</t>
  </si>
  <si>
    <t>153 yrd</t>
  </si>
  <si>
    <t>109 yrd</t>
  </si>
  <si>
    <t>200 yrd</t>
  </si>
  <si>
    <t>125 yrd</t>
  </si>
  <si>
    <t>Handicap Summary</t>
  </si>
  <si>
    <t>2 Wk Ave</t>
  </si>
  <si>
    <t>Par 36</t>
  </si>
  <si>
    <t>Wk1and2</t>
  </si>
  <si>
    <t>Paynes Valley Wk 1</t>
  </si>
  <si>
    <t>Adjusted HC</t>
  </si>
  <si>
    <t>New Adj Cap</t>
  </si>
  <si>
    <t>total</t>
  </si>
  <si>
    <t>rounds</t>
  </si>
  <si>
    <t>Ave 9 score</t>
  </si>
  <si>
    <t>new cap</t>
  </si>
  <si>
    <t>old</t>
  </si>
  <si>
    <t>Ave 9 hole</t>
  </si>
  <si>
    <t>ave 9 score</t>
  </si>
</sst>
</file>

<file path=xl/styles.xml><?xml version="1.0" encoding="utf-8"?>
<styleSheet xmlns="http://schemas.openxmlformats.org/spreadsheetml/2006/main">
  <numFmts count="3">
    <numFmt numFmtId="0" formatCode="General"/>
    <numFmt numFmtId="59" formatCode="0.0"/>
    <numFmt numFmtId="60" formatCode="&quot;$&quot;#,##0.00"/>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25"/>
        <bgColor auto="1"/>
      </patternFill>
    </fill>
    <fill>
      <patternFill patternType="solid">
        <fgColor indexed="8"/>
        <bgColor auto="1"/>
      </patternFill>
    </fill>
  </fills>
  <borders count="27">
    <border>
      <left/>
      <right/>
      <top/>
      <bottom/>
      <diagonal/>
    </border>
    <border>
      <left style="thin">
        <color indexed="12"/>
      </left>
      <right style="thin">
        <color indexed="12"/>
      </right>
      <top style="thin">
        <color indexed="12"/>
      </top>
      <bottom style="thin">
        <color indexed="8"/>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4"/>
      </left>
      <right style="thin">
        <color indexed="15"/>
      </right>
      <top style="thin">
        <color indexed="14"/>
      </top>
      <bottom style="thin">
        <color indexed="15"/>
      </bottom>
      <diagonal/>
    </border>
    <border>
      <left style="thin">
        <color indexed="15"/>
      </left>
      <right style="thin">
        <color indexed="14"/>
      </right>
      <top style="thin">
        <color indexed="14"/>
      </top>
      <bottom style="thin">
        <color indexed="15"/>
      </bottom>
      <diagonal/>
    </border>
    <border>
      <left style="thin">
        <color indexed="14"/>
      </left>
      <right style="thin">
        <color indexed="12"/>
      </right>
      <top style="thin">
        <color indexed="15"/>
      </top>
      <bottom style="thin">
        <color indexed="14"/>
      </bottom>
      <diagonal/>
    </border>
    <border>
      <left style="thin">
        <color indexed="12"/>
      </left>
      <right style="thin">
        <color indexed="14"/>
      </right>
      <top style="thin">
        <color indexed="15"/>
      </top>
      <bottom style="thin">
        <color indexed="14"/>
      </bottom>
      <diagonal/>
    </border>
    <border>
      <left style="thin">
        <color indexed="14"/>
      </left>
      <right style="thin">
        <color indexed="12"/>
      </right>
      <top style="thin">
        <color indexed="14"/>
      </top>
      <bottom style="thin">
        <color indexed="14"/>
      </bottom>
      <diagonal/>
    </border>
    <border>
      <left style="thin">
        <color indexed="12"/>
      </left>
      <right style="thin">
        <color indexed="14"/>
      </right>
      <top style="thin">
        <color indexed="14"/>
      </top>
      <bottom style="thin">
        <color indexed="14"/>
      </bottom>
      <diagonal/>
    </border>
    <border>
      <left style="thin">
        <color indexed="14"/>
      </left>
      <right style="thin">
        <color indexed="12"/>
      </right>
      <top style="thin">
        <color indexed="14"/>
      </top>
      <bottom style="thin">
        <color indexed="15"/>
      </bottom>
      <diagonal/>
    </border>
    <border>
      <left style="thin">
        <color indexed="12"/>
      </left>
      <right style="thin">
        <color indexed="14"/>
      </right>
      <top style="thin">
        <color indexed="14"/>
      </top>
      <bottom style="thin">
        <color indexed="15"/>
      </bottom>
      <diagonal/>
    </border>
    <border>
      <left style="thin">
        <color indexed="14"/>
      </left>
      <right style="thin">
        <color indexed="17"/>
      </right>
      <top style="thin">
        <color indexed="15"/>
      </top>
      <bottom style="thin">
        <color indexed="14"/>
      </bottom>
      <diagonal/>
    </border>
    <border>
      <left style="thin">
        <color indexed="17"/>
      </left>
      <right style="thin">
        <color indexed="14"/>
      </right>
      <top style="thin">
        <color indexed="15"/>
      </top>
      <bottom style="thin">
        <color indexed="14"/>
      </bottom>
      <diagonal/>
    </border>
    <border>
      <left style="thin">
        <color indexed="12"/>
      </left>
      <right style="thin">
        <color indexed="12"/>
      </right>
      <top style="thin">
        <color indexed="8"/>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12"/>
      </left>
      <right style="thin">
        <color indexed="8"/>
      </right>
      <top style="thin">
        <color indexed="12"/>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8"/>
      </left>
      <right style="thin">
        <color indexed="8"/>
      </right>
      <top style="thin">
        <color indexed="8"/>
      </top>
      <bottom style="thin">
        <color indexed="12"/>
      </bottom>
      <diagonal/>
    </border>
    <border>
      <left style="thin">
        <color indexed="12"/>
      </left>
      <right/>
      <top style="thin">
        <color indexed="8"/>
      </top>
      <bottom style="thin">
        <color indexed="12"/>
      </bottom>
      <diagonal/>
    </border>
    <border>
      <left/>
      <right style="thin">
        <color indexed="8"/>
      </right>
      <top style="thin">
        <color indexed="8"/>
      </top>
      <bottom style="thin">
        <color indexed="12"/>
      </bottom>
      <diagonal/>
    </border>
    <border>
      <left style="thin">
        <color indexed="8"/>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8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6" borderId="3" applyNumberFormat="1" applyFont="1" applyFill="0" applyBorder="1" applyAlignment="1" applyProtection="0">
      <alignment horizontal="center" vertical="bottom"/>
    </xf>
    <xf numFmtId="0" fontId="0" borderId="4" applyNumberFormat="0" applyFont="1" applyFill="0" applyBorder="1" applyAlignment="1" applyProtection="0">
      <alignment vertical="bottom"/>
    </xf>
    <xf numFmtId="60" fontId="0" borderId="3" applyNumberFormat="1" applyFont="1" applyFill="0" applyBorder="1" applyAlignment="1" applyProtection="0">
      <alignment horizontal="center" vertical="bottom"/>
    </xf>
    <xf numFmtId="60" fontId="6" borderId="3" applyNumberFormat="1" applyFont="1" applyFill="0" applyBorder="1" applyAlignment="1" applyProtection="0">
      <alignment vertical="bottom"/>
    </xf>
    <xf numFmtId="60" fontId="0" borderId="3" applyNumberFormat="1" applyFont="1" applyFill="0" applyBorder="1" applyAlignment="1" applyProtection="0">
      <alignment vertical="bottom"/>
    </xf>
    <xf numFmtId="0" fontId="0" borderId="5" applyNumberFormat="0" applyFont="1" applyFill="0" applyBorder="1" applyAlignment="1" applyProtection="0">
      <alignment vertical="bottom"/>
    </xf>
    <xf numFmtId="60" fontId="0" borderId="5" applyNumberFormat="1" applyFont="1" applyFill="0" applyBorder="1" applyAlignment="1" applyProtection="0">
      <alignment vertical="bottom"/>
    </xf>
    <xf numFmtId="0" fontId="0" applyNumberFormat="1" applyFont="1" applyFill="0" applyBorder="0" applyAlignment="1" applyProtection="0">
      <alignment vertical="bottom"/>
    </xf>
    <xf numFmtId="0" fontId="1" applyNumberFormat="0" applyFont="1" applyFill="0" applyBorder="0" applyAlignment="1" applyProtection="0">
      <alignment horizontal="center" vertical="center"/>
    </xf>
    <xf numFmtId="49" fontId="6" fillId="4" borderId="6" applyNumberFormat="1" applyFont="1" applyFill="1" applyBorder="1" applyAlignment="1" applyProtection="0">
      <alignment vertical="bottom"/>
    </xf>
    <xf numFmtId="49" fontId="6" fillId="4" borderId="7" applyNumberFormat="1" applyFont="1" applyFill="1" applyBorder="1" applyAlignment="1" applyProtection="0">
      <alignment vertical="bottom"/>
    </xf>
    <xf numFmtId="49" fontId="6" fillId="5" borderId="8" applyNumberFormat="1" applyFont="1" applyFill="1" applyBorder="1" applyAlignment="1" applyProtection="0">
      <alignment vertical="bottom"/>
    </xf>
    <xf numFmtId="0" fontId="6" fillId="5" borderId="9" applyNumberFormat="1" applyFont="1" applyFill="1" applyBorder="1" applyAlignment="1" applyProtection="0">
      <alignment vertical="bottom"/>
    </xf>
    <xf numFmtId="49" fontId="6" fillId="5" borderId="10" applyNumberFormat="1" applyFont="1" applyFill="1" applyBorder="1" applyAlignment="1" applyProtection="0">
      <alignment vertical="bottom"/>
    </xf>
    <xf numFmtId="0" fontId="6" fillId="5" borderId="11" applyNumberFormat="1" applyFont="1" applyFill="1" applyBorder="1" applyAlignment="1" applyProtection="0">
      <alignment vertical="bottom"/>
    </xf>
    <xf numFmtId="49" fontId="6" fillId="5" borderId="12" applyNumberFormat="1" applyFont="1" applyFill="1" applyBorder="1" applyAlignment="1" applyProtection="0">
      <alignment vertical="bottom"/>
    </xf>
    <xf numFmtId="0" fontId="6" fillId="5" borderId="13" applyNumberFormat="1" applyFont="1" applyFill="1" applyBorder="1" applyAlignment="1" applyProtection="0">
      <alignment vertical="bottom"/>
    </xf>
    <xf numFmtId="49" fontId="6" fillId="4" borderId="14" applyNumberFormat="1" applyFont="1" applyFill="1" applyBorder="1" applyAlignment="1" applyProtection="0">
      <alignment vertical="bottom"/>
    </xf>
    <xf numFmtId="0" fontId="6" fillId="4" borderId="15" applyNumberFormat="1" applyFont="1" applyFill="1" applyBorder="1" applyAlignment="1" applyProtection="0">
      <alignment vertical="bottom"/>
    </xf>
    <xf numFmtId="0" fontId="0" applyNumberFormat="1" applyFont="1" applyFill="0" applyBorder="0" applyAlignment="1" applyProtection="0">
      <alignment vertical="bottom"/>
    </xf>
    <xf numFmtId="0" fontId="0" borderId="16" applyNumberFormat="0" applyFont="1" applyFill="0" applyBorder="1" applyAlignment="1" applyProtection="0">
      <alignment vertical="bottom"/>
    </xf>
    <xf numFmtId="0" fontId="6" borderId="3" applyNumberFormat="0" applyFont="1" applyFill="0" applyBorder="1" applyAlignment="1" applyProtection="0">
      <alignment horizontal="center" vertical="bottom"/>
    </xf>
    <xf numFmtId="0" fontId="0" borderId="17" applyNumberFormat="0" applyFont="1" applyFill="0" applyBorder="1" applyAlignment="1" applyProtection="0">
      <alignment vertical="bottom"/>
    </xf>
    <xf numFmtId="0" fontId="0" borderId="3" applyNumberFormat="1" applyFont="1" applyFill="0" applyBorder="1" applyAlignment="1" applyProtection="0">
      <alignment horizontal="center" vertical="bottom"/>
    </xf>
    <xf numFmtId="59" fontId="0" borderId="3" applyNumberFormat="1" applyFont="1" applyFill="0" applyBorder="1" applyAlignment="1" applyProtection="0">
      <alignment horizontal="center" vertical="bottom"/>
    </xf>
    <xf numFmtId="59" fontId="6" borderId="3" applyNumberFormat="1" applyFont="1" applyFill="0" applyBorder="1" applyAlignment="1" applyProtection="0">
      <alignment horizontal="center" vertical="bottom"/>
    </xf>
    <xf numFmtId="0" fontId="6" borderId="3" applyNumberFormat="1" applyFont="1" applyFill="0" applyBorder="1" applyAlignment="1" applyProtection="0">
      <alignment horizontal="center" vertical="bottom"/>
    </xf>
    <xf numFmtId="49" fontId="0" borderId="3" applyNumberFormat="1" applyFont="1" applyFill="0" applyBorder="1" applyAlignment="1" applyProtection="0">
      <alignment horizontal="center" vertical="bottom"/>
    </xf>
    <xf numFmtId="0" fontId="0" borderId="3" applyNumberFormat="0" applyFont="1" applyFill="0" applyBorder="1" applyAlignment="1" applyProtection="0">
      <alignment horizontal="center" vertical="bottom"/>
    </xf>
    <xf numFmtId="0" fontId="0" fillId="6" borderId="3" applyNumberFormat="1" applyFont="1" applyFill="1" applyBorder="1" applyAlignment="1" applyProtection="0">
      <alignment horizontal="center" vertical="bottom"/>
    </xf>
    <xf numFmtId="0" fontId="0" fillId="6" borderId="3" applyNumberFormat="0" applyFont="1" applyFill="1" applyBorder="1" applyAlignment="1" applyProtection="0">
      <alignment horizontal="center" vertical="bottom"/>
    </xf>
    <xf numFmtId="59" fontId="0" fillId="6" borderId="3" applyNumberFormat="1" applyFont="1" applyFill="1" applyBorder="1" applyAlignment="1" applyProtection="0">
      <alignment horizontal="center" vertical="bottom"/>
    </xf>
    <xf numFmtId="49" fontId="0" fillId="6" borderId="3" applyNumberFormat="1" applyFont="1" applyFill="1" applyBorder="1" applyAlignment="1" applyProtection="0">
      <alignment horizontal="center" vertical="bottom"/>
    </xf>
    <xf numFmtId="1" fontId="0" borderId="3"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borderId="18" applyNumberFormat="1" applyFont="1" applyFill="0" applyBorder="1" applyAlignment="1" applyProtection="0">
      <alignment horizontal="center" vertical="bottom"/>
    </xf>
    <xf numFmtId="0" fontId="6" borderId="19" applyNumberFormat="0" applyFont="1" applyFill="0" applyBorder="1" applyAlignment="1" applyProtection="0">
      <alignment horizontal="center" vertical="bottom"/>
    </xf>
    <xf numFmtId="49" fontId="6" borderId="4" applyNumberFormat="1" applyFont="1" applyFill="0" applyBorder="1" applyAlignment="1" applyProtection="0">
      <alignment vertical="bottom"/>
    </xf>
    <xf numFmtId="0" fontId="0" borderId="20" applyNumberFormat="0" applyFont="1" applyFill="0" applyBorder="1" applyAlignment="1" applyProtection="0">
      <alignment vertical="bottom"/>
    </xf>
    <xf numFmtId="0" fontId="6" fillId="6" borderId="3" applyNumberFormat="1" applyFont="1" applyFill="1" applyBorder="1" applyAlignment="1" applyProtection="0">
      <alignment horizontal="center" vertical="bottom"/>
    </xf>
    <xf numFmtId="0" fontId="6" fillId="7" borderId="3" applyNumberFormat="0" applyFont="1" applyFill="1" applyBorder="1" applyAlignment="1" applyProtection="0">
      <alignment horizontal="center" vertical="bottom"/>
    </xf>
    <xf numFmtId="0" fontId="6" fillId="7" borderId="3" applyNumberFormat="0" applyFont="1" applyFill="1" applyBorder="1" applyAlignment="1" applyProtection="0">
      <alignment vertical="bottom"/>
    </xf>
    <xf numFmtId="0" fontId="0" fillId="7" borderId="3" applyNumberFormat="0" applyFont="1" applyFill="1" applyBorder="1" applyAlignment="1" applyProtection="0">
      <alignment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49" fontId="6" fillId="6" borderId="3" applyNumberFormat="1" applyFont="1" applyFill="1" applyBorder="1" applyAlignment="1" applyProtection="0">
      <alignment horizontal="center" vertical="bottom"/>
    </xf>
    <xf numFmtId="0" fontId="0" borderId="23" applyNumberFormat="0" applyFont="1" applyFill="0" applyBorder="1" applyAlignment="1" applyProtection="0">
      <alignment horizontal="center" vertical="bottom"/>
    </xf>
    <xf numFmtId="0" fontId="6" borderId="21" applyNumberFormat="0" applyFont="1" applyFill="0" applyBorder="1" applyAlignment="1" applyProtection="0">
      <alignment horizontal="center" vertical="bottom"/>
    </xf>
    <xf numFmtId="0" fontId="6" borderId="5"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21" applyNumberFormat="0" applyFont="1" applyFill="0" applyBorder="1" applyAlignment="1" applyProtection="0">
      <alignment horizontal="center" vertical="bottom"/>
    </xf>
    <xf numFmtId="0" fontId="6" borderId="24" applyNumberFormat="0" applyFont="1" applyFill="0" applyBorder="1" applyAlignment="1" applyProtection="0">
      <alignment horizontal="center" vertical="bottom"/>
    </xf>
    <xf numFmtId="0" fontId="6" borderId="25" applyNumberFormat="0" applyFont="1" applyFill="0" applyBorder="1" applyAlignment="1" applyProtection="0">
      <alignment horizontal="center" vertical="bottom"/>
    </xf>
    <xf numFmtId="0" fontId="0" borderId="23"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 fontId="6" borderId="3"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6" borderId="3" applyNumberFormat="0" applyFont="1" applyFill="0" applyBorder="1" applyAlignment="1" applyProtection="0">
      <alignment vertical="bottom"/>
    </xf>
    <xf numFmtId="0" fontId="6"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6" borderId="17" applyNumberFormat="1" applyFont="1" applyFill="0" applyBorder="1" applyAlignment="1" applyProtection="0">
      <alignment horizontal="center" vertical="bottom"/>
    </xf>
    <xf numFmtId="49" fontId="6" borderId="4" applyNumberFormat="1" applyFont="1" applyFill="0" applyBorder="1" applyAlignment="1" applyProtection="0">
      <alignment horizontal="center" vertical="bottom"/>
    </xf>
    <xf numFmtId="49" fontId="6" borderId="2" applyNumberFormat="1" applyFont="1" applyFill="0" applyBorder="1" applyAlignment="1" applyProtection="0">
      <alignment horizontal="center" vertical="bottom"/>
    </xf>
    <xf numFmtId="49" fontId="6" borderId="1" applyNumberFormat="1" applyFont="1" applyFill="0" applyBorder="1" applyAlignment="1" applyProtection="0">
      <alignment horizontal="center" vertical="bottom"/>
    </xf>
    <xf numFmtId="0" fontId="0" borderId="17" applyNumberFormat="1" applyFont="1" applyFill="0" applyBorder="1" applyAlignment="1" applyProtection="0">
      <alignment vertical="bottom"/>
    </xf>
    <xf numFmtId="0" fontId="0" borderId="4" applyNumberFormat="1" applyFont="1" applyFill="0" applyBorder="1" applyAlignment="1" applyProtection="0">
      <alignment horizontal="center" vertical="bottom"/>
    </xf>
    <xf numFmtId="59" fontId="0" borderId="2" applyNumberFormat="1" applyFont="1" applyFill="0" applyBorder="1" applyAlignment="1" applyProtection="0">
      <alignment vertical="bottom"/>
    </xf>
    <xf numFmtId="1" fontId="6" borderId="20" applyNumberFormat="1" applyFont="1" applyFill="0" applyBorder="1" applyAlignment="1" applyProtection="0">
      <alignment horizontal="center" vertical="bottom"/>
    </xf>
    <xf numFmtId="0" fontId="0" borderId="4" applyNumberFormat="1" applyFont="1" applyFill="0" applyBorder="1" applyAlignment="1" applyProtection="0">
      <alignment vertical="bottom"/>
    </xf>
    <xf numFmtId="0" fontId="0" borderId="2" applyNumberFormat="1" applyFont="1" applyFill="0" applyBorder="1" applyAlignment="1" applyProtection="0">
      <alignment horizontal="center" vertical="bottom"/>
    </xf>
    <xf numFmtId="49" fontId="0" borderId="2" applyNumberFormat="1" applyFont="1" applyFill="0" applyBorder="1" applyAlignment="1" applyProtection="0">
      <alignment vertical="bottom"/>
    </xf>
    <xf numFmtId="49" fontId="6" borderId="26" applyNumberFormat="1" applyFont="1" applyFill="0" applyBorder="1" applyAlignment="1" applyProtection="0">
      <alignment horizontal="center" vertical="bottom"/>
    </xf>
  </cellXfs>
  <cellStyles count="1">
    <cellStyle name="Normal" xfId="0" builtinId="0"/>
  </cellStyles>
  <dxfs count="32">
    <dxf>
      <font>
        <color rgb="ff000000"/>
      </font>
      <border>
        <left style="thin">
          <color indexed="14"/>
        </left>
        <right style="thin">
          <color indexed="14"/>
        </right>
        <top style="thin">
          <color indexed="14"/>
        </top>
        <bottom style="thin">
          <color indexed="14"/>
        </bottom>
        <diagonal/>
        <vertical style="thin">
          <color indexed="18"/>
        </vertical>
        <horizontal style="thin">
          <color indexed="14"/>
        </horizontal>
      </border>
    </dxf>
    <dxf>
      <font>
        <b val="1"/>
        <color rgb="ff000000"/>
      </font>
      <fill>
        <patternFill patternType="solid">
          <fgColor indexed="19"/>
          <bgColor indexed="13"/>
        </patternFill>
      </fill>
      <border>
        <left style="thin">
          <color indexed="14"/>
        </left>
        <right style="thin">
          <color indexed="14"/>
        </right>
        <top style="thin">
          <color indexed="14"/>
        </top>
        <bottom style="thin">
          <color indexed="15"/>
        </bottom>
        <diagonal/>
        <vertical style="thin">
          <color indexed="20"/>
        </vertical>
        <horizontal>
          <color indexed="20"/>
        </horizontal>
      </border>
    </dxf>
    <dxf>
      <font>
        <b val="1"/>
        <color rgb="ff000000"/>
      </font>
      <fill>
        <patternFill patternType="solid">
          <fgColor indexed="19"/>
          <bgColor indexed="13"/>
        </patternFill>
      </fill>
      <border>
        <left style="thin">
          <color indexed="15"/>
        </left>
        <right style="thin">
          <color indexed="15"/>
        </right>
        <top/>
        <bottom style="medium">
          <color indexed="15"/>
        </bottom>
        <diagonal/>
        <vertical style="thin">
          <color indexed="15"/>
        </vertical>
        <horizontal>
          <color indexed="8"/>
        </horizontal>
      </border>
    </dxf>
    <dxf>
      <font>
        <b val="1"/>
        <color rgb="ff000000"/>
      </font>
      <border>
        <left style="thin">
          <color indexed="14"/>
        </left>
        <right style="thin">
          <color indexed="12"/>
        </right>
        <top style="thin">
          <color indexed="14"/>
        </top>
        <bottom style="thin">
          <color indexed="14"/>
        </bottom>
        <diagonal/>
        <vertical>
          <color indexed="14"/>
        </vertical>
        <horizontal style="thin">
          <color indexed="14"/>
        </horizontal>
      </border>
    </dxf>
    <dxf>
      <font>
        <b val="1"/>
        <color rgb="ff000000"/>
      </font>
      <border>
        <left style="thin">
          <color indexed="14"/>
        </left>
        <right style="thin">
          <color indexed="12"/>
        </right>
        <top style="thin">
          <color indexed="21"/>
        </top>
        <bottom style="thin">
          <color indexed="21"/>
        </bottom>
        <diagonal/>
        <vertical>
          <color indexed="14"/>
        </vertical>
        <horizontal>
          <color indexed="8"/>
        </horizontal>
      </border>
    </dxf>
    <dxf>
      <font>
        <color rgb="ff000000"/>
      </font>
      <fill>
        <patternFill patternType="solid">
          <fgColor indexed="19"/>
          <bgColor indexed="22"/>
        </patternFill>
      </fill>
      <border>
        <left style="thin">
          <color indexed="14"/>
        </left>
        <right style="thin">
          <color indexed="14"/>
        </right>
        <top/>
        <bottom/>
        <diagonal/>
        <vertical style="thin">
          <color indexed="23"/>
        </vertical>
        <horizontal>
          <color indexed="8"/>
        </horizontal>
      </border>
    </dxf>
    <dxf>
      <font>
        <color rgb="ff000000"/>
      </font>
      <border>
        <left/>
        <right/>
        <top style="thin">
          <color indexed="21"/>
        </top>
        <bottom style="thin">
          <color indexed="21"/>
        </bottom>
        <diagonal/>
      </border>
    </dxf>
    <dxf>
      <font>
        <b val="1"/>
        <color rgb="ff000000"/>
      </font>
      <fill>
        <patternFill patternType="solid">
          <fgColor indexed="19"/>
          <bgColor indexed="13"/>
        </patternFill>
      </fill>
      <border>
        <left style="thin">
          <color indexed="14"/>
        </left>
        <right style="thin">
          <color indexed="14"/>
        </right>
        <top style="thin">
          <color indexed="15"/>
        </top>
        <bottom style="thin">
          <color indexed="21"/>
        </bottom>
        <diagonal/>
        <vertical style="thin">
          <color indexed="24"/>
        </vertical>
        <horizontal>
          <color indexed="20"/>
        </horizontal>
      </border>
    </dxf>
    <dxf>
      <font>
        <color rgb="ff000000"/>
      </font>
      <border>
        <left style="thin">
          <color indexed="14"/>
        </left>
        <right style="thin">
          <color indexed="14"/>
        </right>
        <top style="thin">
          <color indexed="14"/>
        </top>
        <bottom style="thin">
          <color indexed="14"/>
        </bottom>
        <diagonal/>
        <vertical style="thin">
          <color indexed="18"/>
        </vertical>
        <horizontal style="thin">
          <color indexed="14"/>
        </horizontal>
      </border>
    </dxf>
    <dxf>
      <font>
        <b val="1"/>
        <color rgb="ff000000"/>
      </font>
      <fill>
        <patternFill patternType="solid">
          <fgColor indexed="19"/>
          <bgColor indexed="13"/>
        </patternFill>
      </fill>
      <border>
        <left style="thin">
          <color indexed="14"/>
        </left>
        <right style="thin">
          <color indexed="14"/>
        </right>
        <top style="thin">
          <color indexed="14"/>
        </top>
        <bottom style="thin">
          <color indexed="15"/>
        </bottom>
        <diagonal/>
        <vertical style="thin">
          <color indexed="20"/>
        </vertical>
        <horizontal>
          <color indexed="20"/>
        </horizontal>
      </border>
    </dxf>
    <dxf>
      <font>
        <b val="1"/>
        <color rgb="ff000000"/>
      </font>
      <fill>
        <patternFill patternType="solid">
          <fgColor indexed="19"/>
          <bgColor indexed="13"/>
        </patternFill>
      </fill>
      <border>
        <left style="thin">
          <color indexed="15"/>
        </left>
        <right style="thin">
          <color indexed="15"/>
        </right>
        <top/>
        <bottom style="medium">
          <color indexed="15"/>
        </bottom>
        <diagonal/>
        <vertical style="thin">
          <color indexed="15"/>
        </vertical>
        <horizontal>
          <color indexed="8"/>
        </horizontal>
      </border>
    </dxf>
    <dxf>
      <font>
        <b val="1"/>
        <color rgb="ff000000"/>
      </font>
      <border>
        <left style="thin">
          <color indexed="14"/>
        </left>
        <right style="thin">
          <color indexed="12"/>
        </right>
        <top style="thin">
          <color indexed="14"/>
        </top>
        <bottom style="thin">
          <color indexed="14"/>
        </bottom>
        <diagonal/>
        <vertical>
          <color indexed="14"/>
        </vertical>
        <horizontal style="thin">
          <color indexed="14"/>
        </horizontal>
      </border>
    </dxf>
    <dxf>
      <font>
        <b val="1"/>
        <color rgb="ff000000"/>
      </font>
      <border>
        <left style="thin">
          <color indexed="14"/>
        </left>
        <right style="thin">
          <color indexed="12"/>
        </right>
        <top style="thin">
          <color indexed="21"/>
        </top>
        <bottom style="thin">
          <color indexed="21"/>
        </bottom>
        <diagonal/>
        <vertical>
          <color indexed="14"/>
        </vertical>
        <horizontal>
          <color indexed="8"/>
        </horizontal>
      </border>
    </dxf>
    <dxf>
      <font>
        <color rgb="ff000000"/>
      </font>
      <fill>
        <patternFill patternType="solid">
          <fgColor indexed="19"/>
          <bgColor indexed="22"/>
        </patternFill>
      </fill>
      <border>
        <left style="thin">
          <color indexed="14"/>
        </left>
        <right style="thin">
          <color indexed="14"/>
        </right>
        <top/>
        <bottom/>
        <diagonal/>
        <vertical style="thin">
          <color indexed="23"/>
        </vertical>
        <horizontal>
          <color indexed="8"/>
        </horizontal>
      </border>
    </dxf>
    <dxf>
      <font>
        <color rgb="ff000000"/>
      </font>
      <border>
        <left/>
        <right/>
        <top style="thin">
          <color indexed="21"/>
        </top>
        <bottom style="thin">
          <color indexed="21"/>
        </bottom>
        <diagonal/>
      </border>
    </dxf>
    <dxf>
      <font>
        <b val="1"/>
        <color rgb="ff000000"/>
      </font>
      <fill>
        <patternFill patternType="solid">
          <fgColor indexed="19"/>
          <bgColor indexed="13"/>
        </patternFill>
      </fill>
      <border>
        <left style="thin">
          <color indexed="14"/>
        </left>
        <right style="thin">
          <color indexed="14"/>
        </right>
        <top style="thin">
          <color indexed="15"/>
        </top>
        <bottom style="thin">
          <color indexed="21"/>
        </bottom>
        <diagonal/>
        <vertical style="thin">
          <color indexed="24"/>
        </vertical>
        <horizontal>
          <color indexed="20"/>
        </horizontal>
      </border>
    </dxf>
    <dxf>
      <font>
        <color rgb="ff000000"/>
      </font>
      <border>
        <left style="thin">
          <color indexed="14"/>
        </left>
        <right style="thin">
          <color indexed="14"/>
        </right>
        <top style="thin">
          <color indexed="14"/>
        </top>
        <bottom style="thin">
          <color indexed="14"/>
        </bottom>
        <diagonal/>
        <vertical style="thin">
          <color indexed="18"/>
        </vertical>
        <horizontal style="thin">
          <color indexed="14"/>
        </horizontal>
      </border>
    </dxf>
    <dxf>
      <font>
        <b val="1"/>
        <color rgb="ff000000"/>
      </font>
      <fill>
        <patternFill patternType="solid">
          <fgColor indexed="19"/>
          <bgColor indexed="13"/>
        </patternFill>
      </fill>
      <border>
        <left style="thin">
          <color indexed="14"/>
        </left>
        <right style="thin">
          <color indexed="14"/>
        </right>
        <top style="thin">
          <color indexed="14"/>
        </top>
        <bottom style="thin">
          <color indexed="15"/>
        </bottom>
        <diagonal/>
        <vertical style="thin">
          <color indexed="20"/>
        </vertical>
        <horizontal>
          <color indexed="20"/>
        </horizontal>
      </border>
    </dxf>
    <dxf>
      <font>
        <b val="1"/>
        <color rgb="ff000000"/>
      </font>
      <fill>
        <patternFill patternType="solid">
          <fgColor indexed="19"/>
          <bgColor indexed="13"/>
        </patternFill>
      </fill>
      <border>
        <left style="thin">
          <color indexed="15"/>
        </left>
        <right style="thin">
          <color indexed="15"/>
        </right>
        <top/>
        <bottom style="medium">
          <color indexed="15"/>
        </bottom>
        <diagonal/>
        <vertical style="thin">
          <color indexed="15"/>
        </vertical>
        <horizontal>
          <color indexed="8"/>
        </horizontal>
      </border>
    </dxf>
    <dxf>
      <font>
        <b val="1"/>
        <color rgb="ff000000"/>
      </font>
      <border>
        <left style="thin">
          <color indexed="14"/>
        </left>
        <right style="thin">
          <color indexed="12"/>
        </right>
        <top style="thin">
          <color indexed="14"/>
        </top>
        <bottom style="thin">
          <color indexed="14"/>
        </bottom>
        <diagonal/>
        <vertical>
          <color indexed="14"/>
        </vertical>
        <horizontal style="thin">
          <color indexed="14"/>
        </horizontal>
      </border>
    </dxf>
    <dxf>
      <font>
        <b val="1"/>
        <color rgb="ff000000"/>
      </font>
      <border>
        <left style="thin">
          <color indexed="14"/>
        </left>
        <right style="thin">
          <color indexed="12"/>
        </right>
        <top style="thin">
          <color indexed="21"/>
        </top>
        <bottom style="thin">
          <color indexed="21"/>
        </bottom>
        <diagonal/>
        <vertical>
          <color indexed="14"/>
        </vertical>
        <horizontal>
          <color indexed="8"/>
        </horizontal>
      </border>
    </dxf>
    <dxf>
      <font>
        <color rgb="ff000000"/>
      </font>
      <fill>
        <patternFill patternType="solid">
          <fgColor indexed="19"/>
          <bgColor indexed="22"/>
        </patternFill>
      </fill>
      <border>
        <left style="thin">
          <color indexed="14"/>
        </left>
        <right style="thin">
          <color indexed="14"/>
        </right>
        <top/>
        <bottom/>
        <diagonal/>
        <vertical style="thin">
          <color indexed="23"/>
        </vertical>
        <horizontal>
          <color indexed="8"/>
        </horizontal>
      </border>
    </dxf>
    <dxf>
      <font>
        <color rgb="ff000000"/>
      </font>
      <border>
        <left/>
        <right/>
        <top style="thin">
          <color indexed="21"/>
        </top>
        <bottom style="thin">
          <color indexed="21"/>
        </bottom>
        <diagonal/>
      </border>
    </dxf>
    <dxf>
      <font>
        <b val="1"/>
        <color rgb="ff000000"/>
      </font>
      <fill>
        <patternFill patternType="solid">
          <fgColor indexed="19"/>
          <bgColor indexed="13"/>
        </patternFill>
      </fill>
      <border>
        <left style="thin">
          <color indexed="14"/>
        </left>
        <right style="thin">
          <color indexed="14"/>
        </right>
        <top style="thin">
          <color indexed="15"/>
        </top>
        <bottom style="thin">
          <color indexed="21"/>
        </bottom>
        <diagonal/>
        <vertical style="thin">
          <color indexed="24"/>
        </vertical>
        <horizontal>
          <color indexed="20"/>
        </horizontal>
      </border>
    </dxf>
    <dxf>
      <font>
        <color rgb="ff000000"/>
      </font>
      <border>
        <left style="thin">
          <color indexed="14"/>
        </left>
        <right style="thin">
          <color indexed="14"/>
        </right>
        <top style="thin">
          <color indexed="14"/>
        </top>
        <bottom style="thin">
          <color indexed="14"/>
        </bottom>
        <diagonal/>
        <vertical style="thin">
          <color indexed="18"/>
        </vertical>
        <horizontal style="thin">
          <color indexed="14"/>
        </horizontal>
      </border>
    </dxf>
    <dxf>
      <font>
        <b val="1"/>
        <color rgb="ff000000"/>
      </font>
      <fill>
        <patternFill patternType="solid">
          <fgColor indexed="19"/>
          <bgColor indexed="13"/>
        </patternFill>
      </fill>
      <border>
        <left style="thin">
          <color indexed="14"/>
        </left>
        <right style="thin">
          <color indexed="14"/>
        </right>
        <top style="thin">
          <color indexed="14"/>
        </top>
        <bottom style="thin">
          <color indexed="15"/>
        </bottom>
        <diagonal/>
        <vertical style="thin">
          <color indexed="20"/>
        </vertical>
        <horizontal>
          <color indexed="20"/>
        </horizontal>
      </border>
    </dxf>
    <dxf>
      <font>
        <b val="1"/>
        <color rgb="ff000000"/>
      </font>
      <fill>
        <patternFill patternType="solid">
          <fgColor indexed="19"/>
          <bgColor indexed="13"/>
        </patternFill>
      </fill>
      <border>
        <left style="thin">
          <color indexed="15"/>
        </left>
        <right style="thin">
          <color indexed="15"/>
        </right>
        <top/>
        <bottom style="medium">
          <color indexed="15"/>
        </bottom>
        <diagonal/>
        <vertical style="thin">
          <color indexed="15"/>
        </vertical>
        <horizontal>
          <color indexed="8"/>
        </horizontal>
      </border>
    </dxf>
    <dxf>
      <font>
        <b val="1"/>
        <color rgb="ff000000"/>
      </font>
      <border>
        <left style="thin">
          <color indexed="14"/>
        </left>
        <right style="thin">
          <color indexed="12"/>
        </right>
        <top style="thin">
          <color indexed="14"/>
        </top>
        <bottom style="thin">
          <color indexed="14"/>
        </bottom>
        <diagonal/>
        <vertical>
          <color indexed="14"/>
        </vertical>
        <horizontal style="thin">
          <color indexed="14"/>
        </horizontal>
      </border>
    </dxf>
    <dxf>
      <font>
        <b val="1"/>
        <color rgb="ff000000"/>
      </font>
      <border>
        <left style="thin">
          <color indexed="14"/>
        </left>
        <right style="thin">
          <color indexed="12"/>
        </right>
        <top style="thin">
          <color indexed="21"/>
        </top>
        <bottom style="thin">
          <color indexed="21"/>
        </bottom>
        <diagonal/>
        <vertical>
          <color indexed="14"/>
        </vertical>
        <horizontal>
          <color indexed="8"/>
        </horizontal>
      </border>
    </dxf>
    <dxf>
      <font>
        <color rgb="ff000000"/>
      </font>
      <fill>
        <patternFill patternType="solid">
          <fgColor indexed="19"/>
          <bgColor indexed="22"/>
        </patternFill>
      </fill>
      <border>
        <left style="thin">
          <color indexed="14"/>
        </left>
        <right style="thin">
          <color indexed="14"/>
        </right>
        <top/>
        <bottom/>
        <diagonal/>
        <vertical style="thin">
          <color indexed="23"/>
        </vertical>
        <horizontal>
          <color indexed="8"/>
        </horizontal>
      </border>
    </dxf>
    <dxf>
      <font>
        <color rgb="ff000000"/>
      </font>
      <border>
        <left/>
        <right/>
        <top style="thin">
          <color indexed="21"/>
        </top>
        <bottom style="thin">
          <color indexed="21"/>
        </bottom>
        <diagonal/>
      </border>
    </dxf>
    <dxf>
      <font>
        <b val="1"/>
        <color rgb="ff000000"/>
      </font>
      <fill>
        <patternFill patternType="solid">
          <fgColor indexed="19"/>
          <bgColor indexed="13"/>
        </patternFill>
      </fill>
      <border>
        <left style="thin">
          <color indexed="14"/>
        </left>
        <right style="thin">
          <color indexed="14"/>
        </right>
        <top style="thin">
          <color indexed="15"/>
        </top>
        <bottom style="thin">
          <color indexed="21"/>
        </bottom>
        <diagonal/>
        <vertical style="thin">
          <color indexed="24"/>
        </vertical>
        <horizontal>
          <color indexed="20"/>
        </horizontal>
      </border>
    </dxf>
  </dxfs>
  <tableStyles count="4">
    <tableStyle name="PivotStyleCustom01">
      <tableStyleElement type="wholeTable" dxfId="0"/>
      <tableStyleElement type="headerRow" dxfId="1"/>
      <tableStyleElement type="firstColumnSubheading" dxfId="2"/>
      <tableStyleElement type="secondColumnSubheading" dxfId="2"/>
      <tableStyleElement type="thirdColumnSubheading" dxfId="2"/>
      <tableStyleElement type="firstColumn" dxfId="3"/>
      <tableStyleElement type="lastColumn" dxfId="3"/>
      <tableStyleElement type="firstRowSubheading" dxfId="4"/>
      <tableStyleElement type="secondRowSubheading" dxfId="4"/>
      <tableStyleElement type="thirdRowSubheading" dxfId="4"/>
      <tableStyleElement type="firstSubtotalColumn" dxfId="5"/>
      <tableStyleElement type="secondSubtotalColumn" dxfId="5"/>
      <tableStyleElement type="thirdSubtotalColumn" dxfId="5"/>
      <tableStyleElement type="firstSubtotalRow" dxfId="6"/>
      <tableStyleElement type="secondSubtotalRow" dxfId="6"/>
      <tableStyleElement type="thirdSubtotalRow" dxfId="6"/>
      <tableStyleElement type="totalRow" dxfId="7"/>
    </tableStyle>
    <tableStyle name="PivotStyleCustom02">
      <tableStyleElement type="wholeTable" dxfId="8"/>
      <tableStyleElement type="headerRow" dxfId="9"/>
      <tableStyleElement type="firstColumnSubheading" dxfId="10"/>
      <tableStyleElement type="secondColumnSubheading" dxfId="10"/>
      <tableStyleElement type="thirdColumnSubheading" dxfId="10"/>
      <tableStyleElement type="firstColumn" dxfId="11"/>
      <tableStyleElement type="lastColumn" dxfId="11"/>
      <tableStyleElement type="firstRowSubheading" dxfId="12"/>
      <tableStyleElement type="secondRowSubheading" dxfId="12"/>
      <tableStyleElement type="thirdRowSubheading" dxfId="12"/>
      <tableStyleElement type="firstSubtotalColumn" dxfId="13"/>
      <tableStyleElement type="secondSubtotalColumn" dxfId="13"/>
      <tableStyleElement type="thirdSubtotalColumn" dxfId="13"/>
      <tableStyleElement type="firstSubtotalRow" dxfId="14"/>
      <tableStyleElement type="secondSubtotalRow" dxfId="14"/>
      <tableStyleElement type="thirdSubtotalRow" dxfId="14"/>
      <tableStyleElement type="totalRow" dxfId="15"/>
    </tableStyle>
    <tableStyle name="PivotStyleCustom03">
      <tableStyleElement type="wholeTable" dxfId="16"/>
      <tableStyleElement type="headerRow" dxfId="17"/>
      <tableStyleElement type="firstColumnSubheading" dxfId="18"/>
      <tableStyleElement type="secondColumnSubheading" dxfId="18"/>
      <tableStyleElement type="thirdColumnSubheading" dxfId="18"/>
      <tableStyleElement type="firstColumn" dxfId="19"/>
      <tableStyleElement type="lastColumn" dxfId="19"/>
      <tableStyleElement type="firstRowSubheading" dxfId="20"/>
      <tableStyleElement type="secondRowSubheading" dxfId="20"/>
      <tableStyleElement type="thirdRowSubheading" dxfId="20"/>
      <tableStyleElement type="firstSubtotalColumn" dxfId="21"/>
      <tableStyleElement type="secondSubtotalColumn" dxfId="21"/>
      <tableStyleElement type="thirdSubtotalColumn" dxfId="21"/>
      <tableStyleElement type="firstSubtotalRow" dxfId="22"/>
      <tableStyleElement type="secondSubtotalRow" dxfId="22"/>
      <tableStyleElement type="thirdSubtotalRow" dxfId="22"/>
      <tableStyleElement type="totalRow" dxfId="23"/>
    </tableStyle>
    <tableStyle name="PivotStyleCustom04">
      <tableStyleElement type="wholeTable" dxfId="24"/>
      <tableStyleElement type="headerRow" dxfId="25"/>
      <tableStyleElement type="firstColumnSubheading" dxfId="26"/>
      <tableStyleElement type="secondColumnSubheading" dxfId="26"/>
      <tableStyleElement type="thirdColumnSubheading" dxfId="26"/>
      <tableStyleElement type="firstColumn" dxfId="27"/>
      <tableStyleElement type="lastColumn" dxfId="27"/>
      <tableStyleElement type="firstRowSubheading" dxfId="28"/>
      <tableStyleElement type="secondRowSubheading" dxfId="28"/>
      <tableStyleElement type="thirdRowSubheading" dxfId="28"/>
      <tableStyleElement type="firstSubtotalColumn" dxfId="29"/>
      <tableStyleElement type="secondSubtotalColumn" dxfId="29"/>
      <tableStyleElement type="thirdSubtotalColumn" dxfId="29"/>
      <tableStyleElement type="firstSubtotalRow" dxfId="30"/>
      <tableStyleElement type="secondSubtotalRow" dxfId="30"/>
      <tableStyleElement type="thirdSubtotalRow" dxfId="30"/>
      <tableStyleElement type="totalRow" dxfId="31"/>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eeaf6"/>
      <rgbColor rgb="ffd4d4d4"/>
      <rgbColor rgb="ff9cc2e5"/>
      <rgbColor rgb="ffffffff"/>
      <rgbColor rgb="ffa6b0b8"/>
      <rgbColor rgb="ffdfdfdf"/>
      <rgbColor rgb="00000000"/>
      <rgbColor rgb="ffcde0f2"/>
      <rgbColor rgb="ff5b9bd5"/>
      <rgbColor rgb="ffd8d8d8"/>
      <rgbColor rgb="ffbfbfbf"/>
      <rgbColor rgb="ffd2d7db"/>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pivotCacheDefinition" Target="pivotCache/pivotCacheDefinition1.xml"/><Relationship Id="rId19" Type="http://schemas.openxmlformats.org/officeDocument/2006/relationships/pivotCacheDefinition" Target="pivotCache/pivotCacheDefinition2.xml"/><Relationship Id="rId20" Type="http://schemas.openxmlformats.org/officeDocument/2006/relationships/pivotCacheDefinition" Target="pivotCache/pivotCacheDefinition3.xml"/><Relationship Id="rId21" Type="http://schemas.openxmlformats.org/officeDocument/2006/relationships/pivotCacheDefinition" Target="pivotCache/pivotCacheDefinition4.xml"/></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r="http://schemas.openxmlformats.org/officeDocument/2006/relationships" xmlns:mc="http://schemas.openxmlformats.org/markup-compatibility/2006" xmlns="http://schemas.openxmlformats.org/spreadsheetml/2006/main" r:id="rId1" refreshedDate="0" recordCount="30" createdVersion="7">
  <cacheSource type="worksheet">
    <worksheetSource ref="A13:N43" sheet="Leaderboard 2025 - Table 1"/>
  </cacheSource>
  <cacheFields count="14">
    <cacheField name="Player" numFmtId="0">
      <sharedItems containsNonDate="0" containsBlank="1" count="12">
        <s v="Cody"/>
        <s v="Jordan"/>
        <s v="Lindsay"/>
        <s v="Lance"/>
        <s v="Shea"/>
        <s v="Tim"/>
        <s v="Sonat"/>
        <s v="Jeremy"/>
        <s v="Tournament 2"/>
        <s v="Player"/>
        <s v="Tournament 3"/>
        <m/>
      </sharedItems>
    </cacheField>
    <cacheField name="Week 1" numFmtId="0">
      <sharedItems containsNonDate="0" containsBlank="1" containsMixedTypes="1" containsNumber="1" minValue="-25" maxValue="49.7083333333333" count="23">
        <n v="38.5"/>
        <n v="32.5"/>
        <n v="36"/>
        <n v="40"/>
        <n v="31.5"/>
        <n v="30"/>
        <n v="36.5"/>
        <n v="-23"/>
        <m/>
        <s v="Week 1"/>
        <n v="35"/>
        <n v="27"/>
        <n v="37"/>
        <n v="29"/>
        <n v="-25"/>
        <n v="49.7083333333333"/>
        <n v="43.325"/>
        <n v="36.5340909090909"/>
        <n v="36.4431818181818"/>
        <n v="-7.375"/>
        <n v="35.2403846153846"/>
        <n v="38.7678571428571"/>
        <n v="47.0416666666667"/>
      </sharedItems>
    </cacheField>
    <cacheField name="Points" numFmtId="0">
      <sharedItems containsNonDate="0" containsBlank="1" containsMixedTypes="1" containsNumber="1" minValue="1" maxValue="8" count="11">
        <n v="3"/>
        <n v="6"/>
        <n v="5"/>
        <n v="2"/>
        <n v="7"/>
        <n v="8"/>
        <n v="4"/>
        <n v="1"/>
        <m/>
        <s v="Points"/>
        <n v="2.5"/>
      </sharedItems>
    </cacheField>
    <cacheField name="Week 2" numFmtId="0">
      <sharedItems containsNonDate="0" containsBlank="1" containsMixedTypes="1" containsNumber="1" minValue="-25.5" maxValue="53.4431818181818" count="22">
        <n v="-25.5"/>
        <n v="41.5"/>
        <n v="37"/>
        <n v="39"/>
        <n v="29.5"/>
        <n v="33"/>
        <n v="33.5"/>
        <m/>
        <s v="Week 2"/>
        <n v="27"/>
        <n v="-6"/>
        <n v="29"/>
        <n v="32"/>
        <n v="48"/>
        <n v="38.7083333333333"/>
        <n v="31.325"/>
        <n v="35.5340909090909"/>
        <n v="53.4431818181818"/>
        <n v="-7.375"/>
        <n v="36.2403846153846"/>
        <n v="34.7678571428571"/>
        <n v="27.0416666666667"/>
      </sharedItems>
    </cacheField>
    <cacheField name="Points2" numFmtId="0">
      <sharedItems containsNonDate="0" containsBlank="1" containsMixedTypes="1" containsNumber="1" minValue="1" maxValue="8" count="11">
        <n v="1"/>
        <n v="2"/>
        <n v="5"/>
        <n v="4"/>
        <n v="8"/>
        <n v="7"/>
        <n v="6"/>
        <n v="3"/>
        <m/>
        <s v="Points"/>
        <n v="4.5"/>
      </sharedItems>
    </cacheField>
    <cacheField name="Week 3" numFmtId="0">
      <sharedItems containsNonDate="0" containsBlank="1" containsMixedTypes="1" containsNumber="1" minValue="-25.5" maxValue="46.325" count="22">
        <n v="-25.5"/>
        <n v="38.5"/>
        <n v="32"/>
        <n v="38"/>
        <n v="25.5"/>
        <n v="30"/>
        <n v="26.5"/>
        <n v="29"/>
        <m/>
        <s v="Week 3"/>
        <n v="31"/>
        <n v="37"/>
        <n v="-6"/>
        <n v="-24"/>
        <n v="34.7083333333333"/>
        <n v="46.325"/>
        <n v="35.5340909090909"/>
        <n v="31.4431818181818"/>
        <n v="36.625"/>
        <n v="40.2403846153846"/>
        <n v="38.7678571428571"/>
        <n v="30.0416666666667"/>
      </sharedItems>
    </cacheField>
    <cacheField name="Points3" numFmtId="0">
      <sharedItems containsNonDate="0" containsBlank="1" containsMixedTypes="1" containsNumber="1" minValue="1" maxValue="8" count="11">
        <n v="1"/>
        <n v="2"/>
        <n v="4"/>
        <n v="3"/>
        <n v="8"/>
        <n v="5"/>
        <n v="7"/>
        <n v="6"/>
        <m/>
        <s v="Points"/>
        <n v="5.5"/>
      </sharedItems>
    </cacheField>
    <cacheField name="Week 4" numFmtId="0">
      <sharedItems containsNonDate="0" containsBlank="1" containsMixedTypes="1" containsNumber="1" minValue="-10.5" maxValue="50.4431818181818" count="22">
        <n v="34.5"/>
        <n v="-10.5"/>
        <n v="35"/>
        <n v="38"/>
        <n v="28.5"/>
        <n v="34"/>
        <n v="37.5"/>
        <m/>
        <s v="Week 4"/>
        <n v="36"/>
        <n v="33"/>
        <n v="41"/>
        <n v="26"/>
        <n v="37"/>
        <n v="47.7083333333333"/>
        <n v="50.325"/>
        <n v="40.5340909090909"/>
        <n v="50.4431818181818"/>
        <n v="38.625"/>
        <n v="37.2403846153846"/>
        <n v="41.7678571428571"/>
        <n v="38.0416666666667"/>
      </sharedItems>
    </cacheField>
    <cacheField name="Points4" numFmtId="0">
      <sharedItems containsNonDate="0" containsBlank="1" containsMixedTypes="1" containsNumber="1" minValue="1" maxValue="8" count="13">
        <n v="6"/>
        <n v="1"/>
        <n v="5"/>
        <n v="2"/>
        <n v="8"/>
        <n v="7"/>
        <n v="4"/>
        <n v="3"/>
        <m/>
        <s v="Points"/>
        <n v="3.5"/>
        <n v="6.5"/>
        <n v="1.5"/>
      </sharedItems>
    </cacheField>
    <cacheField name="Week 5" numFmtId="0">
      <sharedItems containsNonDate="0" containsBlank="1" containsMixedTypes="1" containsNumber="1" minValue="-24" maxValue="47.5" count="24">
        <n v="27.5"/>
        <n v="47.5"/>
        <n v="34"/>
        <n v="-12.5"/>
        <n v="-12"/>
        <n v="30.5"/>
        <n v="46"/>
        <m/>
        <s v="Week 5"/>
        <n v="-14"/>
        <n v="39"/>
        <n v="-24"/>
        <n v="37"/>
        <n v="31"/>
        <n v="29"/>
        <n v="30"/>
        <n v="29.7083333333333"/>
        <n v="31.325"/>
        <n v="-7.46590909090909"/>
        <n v="34.4431818181818"/>
        <n v="31.625"/>
        <n v="36.2403846153846"/>
        <n v="26.7678571428571"/>
        <n v="27.0416666666667"/>
      </sharedItems>
    </cacheField>
    <cacheField name="Points5" numFmtId="0">
      <sharedItems containsNonDate="0" containsBlank="1" containsMixedTypes="1" containsNumber="1" minValue="1" maxValue="8" count="12">
        <n v="8"/>
        <n v="3"/>
        <n v="5.5"/>
        <n v="1"/>
        <n v="7"/>
        <n v="4"/>
        <m/>
        <s v="Points"/>
        <n v="5"/>
        <n v="6"/>
        <n v="2"/>
        <n v="7.5"/>
      </sharedItems>
    </cacheField>
    <cacheField name="Week 6" numFmtId="0">
      <sharedItems containsNonDate="0" containsBlank="1" containsMixedTypes="1" containsNumber="1" minValue="-24" maxValue="42" count="24">
        <n v="30.5"/>
        <n v="-10.5"/>
        <n v="34"/>
        <n v="28.5"/>
        <n v="32"/>
        <n v="32.5"/>
        <n v="31"/>
        <m/>
        <s v="Week 6"/>
        <n v="37"/>
        <n v="-14"/>
        <n v="-6"/>
        <n v="-24"/>
        <n v="39"/>
        <n v="33"/>
        <n v="42"/>
        <n v="34.7083333333333"/>
        <n v="36.325"/>
        <n v="-7.46590909090909"/>
        <n v="35.4431818181818"/>
        <n v="37.625"/>
        <n v="31.2403846153846"/>
        <n v="31.7678571428571"/>
        <n v="28.0416666666667"/>
      </sharedItems>
    </cacheField>
    <cacheField name="Points6" numFmtId="0">
      <sharedItems containsNonDate="0" containsBlank="1" containsMixedTypes="1" containsNumber="1" minValue="1" maxValue="8" count="12">
        <n v="7"/>
        <n v="1"/>
        <n v="2.5"/>
        <n v="8"/>
        <n v="5"/>
        <n v="4"/>
        <n v="6"/>
        <m/>
        <s v="Points"/>
        <n v="4.5"/>
        <n v="3"/>
        <n v="2"/>
      </sharedItems>
    </cacheField>
    <cacheField name="Total" numFmtId="0">
      <sharedItems containsNonDate="0" containsBlank="1" containsMixedTypes="1" containsNumber="1" minValue="9.5" maxValue="41.5" count="22">
        <n v="26"/>
        <n v="15"/>
        <n v="27"/>
        <n v="19"/>
        <n v="40"/>
        <n v="33"/>
        <n v="32"/>
        <n v="23"/>
        <m/>
        <s v="Total"/>
        <n v="25.5"/>
        <n v="9.5"/>
        <n v="32.5"/>
        <n v="31.5"/>
        <n v="30.5"/>
        <n v="30"/>
        <n v="24.5"/>
        <n v="21.5"/>
        <n v="22.5"/>
        <n v="25"/>
        <n v="18"/>
        <n v="41.5"/>
      </sharedItems>
    </cacheField>
  </cacheFields>
  <extLst>
    <ext xmlns:x14="http://schemas.microsoft.com/office/spreadsheetml/2009/9/main">
      <x14:pivotCacheDefinition/>
    </ext>
  </extLst>
</pivotCacheDefinition>
</file>

<file path=xl/pivotCache/pivotCacheDefinition2.xml><?xml version="1.0" encoding="utf-8"?>
<pivotCacheDefinition xmlns:r="http://schemas.openxmlformats.org/officeDocument/2006/relationships" xmlns:mc="http://schemas.openxmlformats.org/markup-compatibility/2006" xmlns="http://schemas.openxmlformats.org/spreadsheetml/2006/main" r:id="rId1" refreshedDate="0" recordCount="8" createdVersion="7">
  <cacheSource type="worksheet">
    <worksheetSource ref="A13:N21" sheet="Tournament 1 - Table 1"/>
  </cacheSource>
  <cacheFields count="14">
    <cacheField name="Player" numFmtId="0">
      <sharedItems containsNonDate="0" count="8">
        <s v="Cody"/>
        <s v="Jordan"/>
        <s v="Lindsay"/>
        <s v="Lance"/>
        <s v="Shea"/>
        <s v="Tim"/>
        <s v="Sonat"/>
        <s v="Jeremy"/>
      </sharedItems>
    </cacheField>
    <cacheField name="Week 1" numFmtId="0">
      <sharedItems containsSemiMixedTypes="0" containsNonDate="0" containsString="0" containsNumber="1" minValue="-23" maxValue="40" count="8">
        <n v="38.5"/>
        <n v="32.5"/>
        <n v="36"/>
        <n v="40"/>
        <n v="31.5"/>
        <n v="30"/>
        <n v="36.5"/>
        <n v="-23"/>
      </sharedItems>
    </cacheField>
    <cacheField name="Points" numFmtId="0">
      <sharedItems containsSemiMixedTypes="0" containsNonDate="0" containsString="0" containsNumber="1" containsInteger="1" minValue="1" maxValue="8" count="8">
        <n v="3"/>
        <n v="6"/>
        <n v="5"/>
        <n v="2"/>
        <n v="7"/>
        <n v="8"/>
        <n v="4"/>
        <n v="1"/>
      </sharedItems>
    </cacheField>
    <cacheField name="Week 2" numFmtId="0">
      <sharedItems containsSemiMixedTypes="0" containsNonDate="0" containsString="0" containsNumber="1" minValue="-25.5" maxValue="41.5" count="7">
        <n v="-25.5"/>
        <n v="41.5"/>
        <n v="37"/>
        <n v="39"/>
        <n v="29.5"/>
        <n v="33"/>
        <n v="33.5"/>
      </sharedItems>
    </cacheField>
    <cacheField name="Points2" numFmtId="0">
      <sharedItems containsSemiMixedTypes="0" containsNonDate="0" containsString="0" containsNumber="1" containsInteger="1" minValue="1" maxValue="8" count="8">
        <n v="1"/>
        <n v="2"/>
        <n v="5"/>
        <n v="4"/>
        <n v="8"/>
        <n v="7"/>
        <n v="6"/>
        <n v="3"/>
      </sharedItems>
    </cacheField>
    <cacheField name="Week 3" numFmtId="0">
      <sharedItems containsSemiMixedTypes="0" containsNonDate="0" containsString="0" containsNumber="1" minValue="-25.5" maxValue="38.5" count="8">
        <n v="-25.5"/>
        <n v="38.5"/>
        <n v="32"/>
        <n v="38"/>
        <n v="25.5"/>
        <n v="30"/>
        <n v="26.5"/>
        <n v="29"/>
      </sharedItems>
    </cacheField>
    <cacheField name="Points3" numFmtId="0">
      <sharedItems containsSemiMixedTypes="0" containsNonDate="0" containsString="0" containsNumber="1" containsInteger="1" minValue="1" maxValue="8" count="8">
        <n v="1"/>
        <n v="2"/>
        <n v="4"/>
        <n v="3"/>
        <n v="8"/>
        <n v="5"/>
        <n v="7"/>
        <n v="6"/>
      </sharedItems>
    </cacheField>
    <cacheField name="Week 4" numFmtId="0">
      <sharedItems containsSemiMixedTypes="0" containsNonDate="0" containsString="0" containsNumber="1" minValue="-10.5" maxValue="38" count="7">
        <n v="34.5"/>
        <n v="-10.5"/>
        <n v="35"/>
        <n v="38"/>
        <n v="28.5"/>
        <n v="34"/>
        <n v="37.5"/>
      </sharedItems>
    </cacheField>
    <cacheField name="Points4" numFmtId="0">
      <sharedItems containsSemiMixedTypes="0" containsNonDate="0" containsString="0" containsNumber="1" containsInteger="1" minValue="1" maxValue="8" count="8">
        <n v="6"/>
        <n v="1"/>
        <n v="5"/>
        <n v="2"/>
        <n v="8"/>
        <n v="7"/>
        <n v="4"/>
        <n v="3"/>
      </sharedItems>
    </cacheField>
    <cacheField name="Week 5" numFmtId="0">
      <sharedItems containsSemiMixedTypes="0" containsNonDate="0" containsString="0" containsNumber="1" minValue="-12.5" maxValue="47.5" count="7">
        <n v="27.5"/>
        <n v="47.5"/>
        <n v="34"/>
        <n v="-12.5"/>
        <n v="-12"/>
        <n v="30.5"/>
        <n v="46"/>
      </sharedItems>
    </cacheField>
    <cacheField name="Points5" numFmtId="0">
      <sharedItems containsSemiMixedTypes="0" containsNonDate="0" containsString="0" containsNumber="1" minValue="1" maxValue="8" count="6">
        <n v="8"/>
        <n v="3"/>
        <n v="5.5"/>
        <n v="1"/>
        <n v="7"/>
        <n v="4"/>
      </sharedItems>
    </cacheField>
    <cacheField name="Week 6" numFmtId="0">
      <sharedItems containsSemiMixedTypes="0" containsNonDate="0" containsString="0" containsNumber="1" minValue="-10.5" maxValue="34" count="7">
        <n v="30.5"/>
        <n v="-10.5"/>
        <n v="34"/>
        <n v="28.5"/>
        <n v="32"/>
        <n v="32.5"/>
        <n v="31"/>
      </sharedItems>
    </cacheField>
    <cacheField name="Points6" numFmtId="0">
      <sharedItems containsSemiMixedTypes="0" containsNonDate="0" containsString="0" containsNumber="1" minValue="1" maxValue="8" count="7">
        <n v="7"/>
        <n v="1"/>
        <n v="2.5"/>
        <n v="8"/>
        <n v="5"/>
        <n v="4"/>
        <n v="6"/>
      </sharedItems>
    </cacheField>
    <cacheField name="Total" numFmtId="0">
      <sharedItems containsSemiMixedTypes="0" containsNonDate="0" containsString="0" containsNumber="1" containsInteger="1" minValue="15" maxValue="40" count="8">
        <n v="26"/>
        <n v="15"/>
        <n v="27"/>
        <n v="19"/>
        <n v="40"/>
        <n v="33"/>
        <n v="32"/>
        <n v="23"/>
      </sharedItems>
    </cacheField>
  </cacheFields>
  <extLst>
    <ext xmlns:x14="http://schemas.microsoft.com/office/spreadsheetml/2009/9/main">
      <x14:pivotCacheDefinition/>
    </ext>
  </extLst>
</pivotCacheDefinition>
</file>

<file path=xl/pivotCache/pivotCacheDefinition3.xml><?xml version="1.0" encoding="utf-8"?>
<pivotCacheDefinition xmlns:r="http://schemas.openxmlformats.org/officeDocument/2006/relationships" xmlns:mc="http://schemas.openxmlformats.org/markup-compatibility/2006" xmlns="http://schemas.openxmlformats.org/spreadsheetml/2006/main" r:id="rId1" refreshedDate="0" recordCount="8" createdVersion="7">
  <cacheSource type="worksheet">
    <worksheetSource ref="A13:N21" sheet="Tournament 2 - Table 1"/>
  </cacheSource>
  <cacheFields count="14">
    <cacheField name="Player" numFmtId="0">
      <sharedItems containsNonDate="0" count="8">
        <s v="Cody"/>
        <s v="Jordan"/>
        <s v="Lindsay"/>
        <s v="Lance"/>
        <s v="Shea"/>
        <s v="Tim"/>
        <s v="Sonat"/>
        <s v="Jeremy"/>
      </sharedItems>
    </cacheField>
    <cacheField name="Week 1" numFmtId="0">
      <sharedItems containsSemiMixedTypes="0" containsNonDate="0" containsString="0" containsNumber="1" containsInteger="1" minValue="-25" maxValue="40" count="7">
        <n v="40"/>
        <n v="35"/>
        <n v="27"/>
        <n v="37"/>
        <n v="29"/>
        <n v="36"/>
        <n v="-25"/>
      </sharedItems>
    </cacheField>
    <cacheField name="Points" numFmtId="0">
      <sharedItems containsSemiMixedTypes="0" containsNonDate="0" containsString="0" containsNumber="1" minValue="1" maxValue="8" count="7">
        <n v="2.5"/>
        <n v="6"/>
        <n v="8"/>
        <n v="4"/>
        <n v="7"/>
        <n v="5"/>
        <n v="1"/>
      </sharedItems>
    </cacheField>
    <cacheField name="Week 2" numFmtId="0">
      <sharedItems containsSemiMixedTypes="0" containsNonDate="0" containsString="0" containsNumber="1" containsInteger="1" minValue="-6" maxValue="48" count="7">
        <n v="39"/>
        <n v="27"/>
        <n v="-6"/>
        <n v="29"/>
        <n v="32"/>
        <n v="33"/>
        <n v="48"/>
      </sharedItems>
    </cacheField>
    <cacheField name="Points2" numFmtId="0">
      <sharedItems containsSemiMixedTypes="0" containsNonDate="0" containsString="0" containsNumber="1" minValue="1" maxValue="8" count="7">
        <n v="3"/>
        <n v="8"/>
        <n v="1"/>
        <n v="7"/>
        <n v="6"/>
        <n v="4.5"/>
        <n v="2"/>
      </sharedItems>
    </cacheField>
    <cacheField name="Week 3" numFmtId="0">
      <sharedItems containsSemiMixedTypes="0" containsNonDate="0" containsString="0" containsNumber="1" containsInteger="1" minValue="-24" maxValue="37" count="7">
        <n v="31"/>
        <n v="37"/>
        <n v="-6"/>
        <n v="-24"/>
        <n v="30"/>
        <n v="32"/>
        <n v="29"/>
      </sharedItems>
    </cacheField>
    <cacheField name="Points3" numFmtId="0">
      <sharedItems containsSemiMixedTypes="0" containsNonDate="0" containsString="0" containsNumber="1" minValue="1" maxValue="8" count="6">
        <n v="5.5"/>
        <n v="3"/>
        <n v="1"/>
        <n v="7"/>
        <n v="4"/>
        <n v="8"/>
      </sharedItems>
    </cacheField>
    <cacheField name="Week 4" numFmtId="0">
      <sharedItems containsSemiMixedTypes="0" containsNonDate="0" containsString="0" containsNumber="1" containsInteger="1" minValue="26" maxValue="41" count="6">
        <n v="36"/>
        <n v="33"/>
        <n v="41"/>
        <n v="26"/>
        <n v="37"/>
        <n v="35"/>
      </sharedItems>
    </cacheField>
    <cacheField name="Points4" numFmtId="0">
      <sharedItems containsSemiMixedTypes="0" containsNonDate="0" containsString="0" containsNumber="1" minValue="1" maxValue="8" count="6">
        <n v="3.5"/>
        <n v="6.5"/>
        <n v="1"/>
        <n v="8"/>
        <n v="2"/>
        <n v="5"/>
      </sharedItems>
    </cacheField>
    <cacheField name="Week 5" numFmtId="0">
      <sharedItems containsSemiMixedTypes="0" containsNonDate="0" containsString="0" containsNumber="1" containsInteger="1" minValue="-24" maxValue="39" count="8">
        <n v="34"/>
        <n v="-14"/>
        <n v="39"/>
        <n v="-24"/>
        <n v="37"/>
        <n v="31"/>
        <n v="29"/>
        <n v="30"/>
      </sharedItems>
    </cacheField>
    <cacheField name="Points5" numFmtId="0">
      <sharedItems containsSemiMixedTypes="0" containsNonDate="0" containsString="0" containsNumber="1" containsInteger="1" minValue="1" maxValue="8" count="7">
        <n v="5"/>
        <n v="1"/>
        <n v="3"/>
        <n v="4"/>
        <n v="6"/>
        <n v="8"/>
        <n v="7"/>
      </sharedItems>
    </cacheField>
    <cacheField name="Week 6" numFmtId="0">
      <sharedItems containsSemiMixedTypes="0" containsNonDate="0" containsString="0" containsNumber="1" containsInteger="1" minValue="-24" maxValue="42" count="8">
        <n v="37"/>
        <n v="-14"/>
        <n v="-6"/>
        <n v="-24"/>
        <n v="39"/>
        <n v="33"/>
        <n v="42"/>
        <n v="34"/>
      </sharedItems>
    </cacheField>
    <cacheField name="Points6" numFmtId="0">
      <sharedItems containsSemiMixedTypes="0" containsNonDate="0" containsString="0" containsNumber="1" containsInteger="1" minValue="1" maxValue="8" count="6">
        <n v="6"/>
        <n v="1"/>
        <n v="5"/>
        <n v="8"/>
        <n v="4"/>
        <n v="7"/>
      </sharedItems>
    </cacheField>
    <cacheField name="Total" numFmtId="0">
      <sharedItems containsSemiMixedTypes="0" containsNonDate="0" containsString="0" containsNumber="1" minValue="9.5" maxValue="32.5" count="7">
        <n v="25.5"/>
        <n v="9.5"/>
        <n v="26"/>
        <n v="32.5"/>
        <n v="31.5"/>
        <n v="30.5"/>
        <n v="30"/>
      </sharedItems>
    </cacheField>
  </cacheFields>
  <extLst>
    <ext xmlns:x14="http://schemas.microsoft.com/office/spreadsheetml/2009/9/main">
      <x14:pivotCacheDefinition/>
    </ext>
  </extLst>
</pivotCacheDefinition>
</file>

<file path=xl/pivotCache/pivotCacheDefinition4.xml><?xml version="1.0" encoding="utf-8"?>
<pivotCacheDefinition xmlns:r="http://schemas.openxmlformats.org/officeDocument/2006/relationships" xmlns:mc="http://schemas.openxmlformats.org/markup-compatibility/2006" xmlns="http://schemas.openxmlformats.org/spreadsheetml/2006/main" r:id="rId1" refreshedDate="0" recordCount="8" createdVersion="7">
  <cacheSource type="worksheet">
    <worksheetSource ref="A13:N21" sheet="Tournament 3 - Table 1"/>
  </cacheSource>
  <cacheFields count="14">
    <cacheField name="Player" numFmtId="0">
      <sharedItems containsNonDate="0" count="8">
        <s v="Cody"/>
        <s v="Jordan"/>
        <s v="Lindsay"/>
        <s v="Lance"/>
        <s v="Shea"/>
        <s v="Tim"/>
        <s v="Sonat"/>
        <s v="Jeremy"/>
      </sharedItems>
    </cacheField>
    <cacheField name="Week 1" numFmtId="0">
      <sharedItems containsSemiMixedTypes="0" containsNonDate="0" containsString="0" containsNumber="1" minValue="-7.375" maxValue="49.7083333333333" count="8">
        <n v="49.7083333333333"/>
        <n v="43.325"/>
        <n v="36.5340909090909"/>
        <n v="36.4431818181818"/>
        <n v="-7.375"/>
        <n v="35.2403846153846"/>
        <n v="38.7678571428571"/>
        <n v="47.0416666666667"/>
      </sharedItems>
    </cacheField>
    <cacheField name="Points" numFmtId="0">
      <sharedItems containsSemiMixedTypes="0" containsNonDate="0" containsString="0" containsNumber="1" containsInteger="1" minValue="1" maxValue="8" count="8">
        <n v="2"/>
        <n v="4"/>
        <n v="6"/>
        <n v="7"/>
        <n v="1"/>
        <n v="8"/>
        <n v="5"/>
        <n v="3"/>
      </sharedItems>
    </cacheField>
    <cacheField name="Week 2" numFmtId="0">
      <sharedItems containsSemiMixedTypes="0" containsNonDate="0" containsString="0" containsNumber="1" minValue="-7.375" maxValue="53.4431818181818" count="8">
        <n v="38.7083333333333"/>
        <n v="31.325"/>
        <n v="35.5340909090909"/>
        <n v="53.4431818181818"/>
        <n v="-7.375"/>
        <n v="36.2403846153846"/>
        <n v="34.7678571428571"/>
        <n v="27.0416666666667"/>
      </sharedItems>
    </cacheField>
    <cacheField name="Points2" numFmtId="0">
      <sharedItems containsSemiMixedTypes="0" containsNonDate="0" containsString="0" containsNumber="1" minValue="1" maxValue="8" count="7">
        <n v="3"/>
        <n v="7"/>
        <n v="4.5"/>
        <n v="2"/>
        <n v="1"/>
        <n v="6"/>
        <n v="8"/>
      </sharedItems>
    </cacheField>
    <cacheField name="Week 3" numFmtId="0">
      <sharedItems containsSemiMixedTypes="0" containsNonDate="0" containsString="0" containsNumber="1" minValue="30.0416666666667" maxValue="46.325" count="8">
        <n v="34.7083333333333"/>
        <n v="46.325"/>
        <n v="35.5340909090909"/>
        <n v="31.4431818181818"/>
        <n v="36.625"/>
        <n v="40.2403846153846"/>
        <n v="38.7678571428571"/>
        <n v="30.0416666666667"/>
      </sharedItems>
    </cacheField>
    <cacheField name="Points3" numFmtId="0">
      <sharedItems containsSemiMixedTypes="0" containsNonDate="0" containsString="0" containsNumber="1" containsInteger="1" minValue="1" maxValue="8" count="8">
        <n v="6"/>
        <n v="1"/>
        <n v="5"/>
        <n v="7"/>
        <n v="4"/>
        <n v="2"/>
        <n v="3"/>
        <n v="8"/>
      </sharedItems>
    </cacheField>
    <cacheField name="Week 4" numFmtId="0">
      <sharedItems containsSemiMixedTypes="0" containsNonDate="0" containsString="0" containsNumber="1" minValue="37.2403846153846" maxValue="50.4431818181818" count="8">
        <n v="47.7083333333333"/>
        <n v="50.325"/>
        <n v="40.5340909090909"/>
        <n v="50.4431818181818"/>
        <n v="38.625"/>
        <n v="37.2403846153846"/>
        <n v="41.7678571428571"/>
        <n v="38.0416666666667"/>
      </sharedItems>
    </cacheField>
    <cacheField name="Points4" numFmtId="0">
      <sharedItems containsSemiMixedTypes="0" containsNonDate="0" containsString="0" containsNumber="1" minValue="1.5" maxValue="8" count="7">
        <n v="3"/>
        <n v="1.5"/>
        <n v="5"/>
        <n v="6"/>
        <n v="8"/>
        <n v="4"/>
        <n v="7"/>
      </sharedItems>
    </cacheField>
    <cacheField name="Week 5" numFmtId="0">
      <sharedItems containsSemiMixedTypes="0" containsNonDate="0" containsString="0" containsNumber="1" minValue="-7.46590909090909" maxValue="36.2403846153846" count="8">
        <n v="29.7083333333333"/>
        <n v="31.325"/>
        <n v="-7.46590909090909"/>
        <n v="34.4431818181818"/>
        <n v="31.625"/>
        <n v="36.2403846153846"/>
        <n v="26.7678571428571"/>
        <n v="27.0416666666667"/>
      </sharedItems>
    </cacheField>
    <cacheField name="Points5" numFmtId="0">
      <sharedItems containsSemiMixedTypes="0" containsNonDate="0" containsString="0" containsNumber="1" minValue="1" maxValue="7.5" count="7">
        <n v="6"/>
        <n v="5"/>
        <n v="1"/>
        <n v="3"/>
        <n v="4"/>
        <n v="2"/>
        <n v="7.5"/>
      </sharedItems>
    </cacheField>
    <cacheField name="Week 6" numFmtId="0">
      <sharedItems containsSemiMixedTypes="0" containsNonDate="0" containsString="0" containsNumber="1" minValue="-7.46590909090909" maxValue="37.625" count="8">
        <n v="34.7083333333333"/>
        <n v="36.325"/>
        <n v="-7.46590909090909"/>
        <n v="35.4431818181818"/>
        <n v="37.625"/>
        <n v="31.2403846153846"/>
        <n v="31.7678571428571"/>
        <n v="28.0416666666667"/>
      </sharedItems>
    </cacheField>
    <cacheField name="Points6" numFmtId="0">
      <sharedItems containsSemiMixedTypes="0" containsNonDate="0" containsString="0" containsNumber="1" minValue="1" maxValue="8" count="7">
        <n v="4.5"/>
        <n v="3"/>
        <n v="1"/>
        <n v="2"/>
        <n v="7"/>
        <n v="6"/>
        <n v="8"/>
      </sharedItems>
    </cacheField>
    <cacheField name="Total" numFmtId="0">
      <sharedItems containsSemiMixedTypes="0" containsNonDate="0" containsString="0" containsNumber="1" minValue="18" maxValue="41.5" count="7">
        <n v="24.5"/>
        <n v="21.5"/>
        <n v="22.5"/>
        <n v="25"/>
        <n v="18"/>
        <n v="31.5"/>
        <n v="41.5"/>
      </sharedItems>
    </cacheField>
  </cacheFields>
  <extLst>
    <ext xmlns:x14="http://schemas.microsoft.com/office/spreadsheetml/2009/9/main">
      <x14:pivotCacheDefinition/>
    </ext>
  </extLst>
</pivotCacheDefinition>
</file>

<file path=xl/pivotCache/pivotCacheRecords1.xml><?xml version="1.0" encoding="utf-8"?>
<pivotCacheRecords xmlns:r="http://schemas.openxmlformats.org/officeDocument/2006/relationships" xmlns="http://schemas.openxmlformats.org/spreadsheetml/2006/main" count="30">
  <r>
    <x v="0"/>
    <x v="0"/>
    <x v="0"/>
    <x v="0"/>
    <x v="0"/>
    <x v="0"/>
    <x v="0"/>
    <x v="0"/>
    <x v="0"/>
    <x v="0"/>
    <x v="0"/>
    <x v="0"/>
    <x v="0"/>
    <x v="0"/>
  </r>
  <r>
    <x v="1"/>
    <x v="1"/>
    <x v="1"/>
    <x v="1"/>
    <x v="1"/>
    <x v="1"/>
    <x v="1"/>
    <x v="1"/>
    <x v="1"/>
    <x v="1"/>
    <x v="1"/>
    <x v="1"/>
    <x v="1"/>
    <x v="1"/>
  </r>
  <r>
    <x v="2"/>
    <x v="2"/>
    <x v="2"/>
    <x v="2"/>
    <x v="2"/>
    <x v="2"/>
    <x v="2"/>
    <x v="2"/>
    <x v="2"/>
    <x v="2"/>
    <x v="2"/>
    <x v="2"/>
    <x v="2"/>
    <x v="2"/>
  </r>
  <r>
    <x v="3"/>
    <x v="3"/>
    <x v="3"/>
    <x v="3"/>
    <x v="3"/>
    <x v="3"/>
    <x v="3"/>
    <x v="3"/>
    <x v="3"/>
    <x v="2"/>
    <x v="2"/>
    <x v="2"/>
    <x v="2"/>
    <x v="3"/>
  </r>
  <r>
    <x v="4"/>
    <x v="4"/>
    <x v="4"/>
    <x v="4"/>
    <x v="4"/>
    <x v="4"/>
    <x v="4"/>
    <x v="4"/>
    <x v="4"/>
    <x v="3"/>
    <x v="3"/>
    <x v="3"/>
    <x v="3"/>
    <x v="4"/>
  </r>
  <r>
    <x v="5"/>
    <x v="5"/>
    <x v="5"/>
    <x v="5"/>
    <x v="5"/>
    <x v="5"/>
    <x v="5"/>
    <x v="5"/>
    <x v="5"/>
    <x v="4"/>
    <x v="3"/>
    <x v="4"/>
    <x v="4"/>
    <x v="5"/>
  </r>
  <r>
    <x v="6"/>
    <x v="6"/>
    <x v="6"/>
    <x v="6"/>
    <x v="6"/>
    <x v="6"/>
    <x v="6"/>
    <x v="6"/>
    <x v="6"/>
    <x v="5"/>
    <x v="4"/>
    <x v="5"/>
    <x v="5"/>
    <x v="6"/>
  </r>
  <r>
    <x v="7"/>
    <x v="7"/>
    <x v="7"/>
    <x v="3"/>
    <x v="7"/>
    <x v="7"/>
    <x v="7"/>
    <x v="3"/>
    <x v="7"/>
    <x v="6"/>
    <x v="5"/>
    <x v="6"/>
    <x v="6"/>
    <x v="7"/>
  </r>
  <r>
    <x v="8"/>
    <x v="8"/>
    <x v="8"/>
    <x v="7"/>
    <x v="8"/>
    <x v="8"/>
    <x v="8"/>
    <x v="7"/>
    <x v="8"/>
    <x v="7"/>
    <x v="6"/>
    <x v="7"/>
    <x v="7"/>
    <x v="8"/>
  </r>
  <r>
    <x v="9"/>
    <x v="9"/>
    <x v="9"/>
    <x v="8"/>
    <x v="9"/>
    <x v="9"/>
    <x v="9"/>
    <x v="8"/>
    <x v="9"/>
    <x v="8"/>
    <x v="7"/>
    <x v="8"/>
    <x v="8"/>
    <x v="9"/>
  </r>
  <r>
    <x v="0"/>
    <x v="3"/>
    <x v="10"/>
    <x v="3"/>
    <x v="7"/>
    <x v="10"/>
    <x v="10"/>
    <x v="9"/>
    <x v="10"/>
    <x v="2"/>
    <x v="8"/>
    <x v="9"/>
    <x v="6"/>
    <x v="10"/>
  </r>
  <r>
    <x v="1"/>
    <x v="10"/>
    <x v="1"/>
    <x v="9"/>
    <x v="4"/>
    <x v="11"/>
    <x v="3"/>
    <x v="10"/>
    <x v="11"/>
    <x v="9"/>
    <x v="3"/>
    <x v="10"/>
    <x v="1"/>
    <x v="10"/>
  </r>
  <r>
    <x v="2"/>
    <x v="3"/>
    <x v="10"/>
    <x v="10"/>
    <x v="0"/>
    <x v="12"/>
    <x v="0"/>
    <x v="11"/>
    <x v="1"/>
    <x v="10"/>
    <x v="1"/>
    <x v="11"/>
    <x v="1"/>
    <x v="11"/>
  </r>
  <r>
    <x v="3"/>
    <x v="11"/>
    <x v="5"/>
    <x v="11"/>
    <x v="5"/>
    <x v="13"/>
    <x v="0"/>
    <x v="12"/>
    <x v="4"/>
    <x v="11"/>
    <x v="3"/>
    <x v="12"/>
    <x v="1"/>
    <x v="0"/>
  </r>
  <r>
    <x v="4"/>
    <x v="12"/>
    <x v="6"/>
    <x v="12"/>
    <x v="6"/>
    <x v="5"/>
    <x v="6"/>
    <x v="10"/>
    <x v="11"/>
    <x v="12"/>
    <x v="5"/>
    <x v="13"/>
    <x v="4"/>
    <x v="12"/>
  </r>
  <r>
    <x v="5"/>
    <x v="13"/>
    <x v="4"/>
    <x v="5"/>
    <x v="10"/>
    <x v="2"/>
    <x v="2"/>
    <x v="13"/>
    <x v="3"/>
    <x v="13"/>
    <x v="9"/>
    <x v="14"/>
    <x v="3"/>
    <x v="13"/>
  </r>
  <r>
    <x v="6"/>
    <x v="2"/>
    <x v="2"/>
    <x v="5"/>
    <x v="10"/>
    <x v="10"/>
    <x v="10"/>
    <x v="9"/>
    <x v="10"/>
    <x v="14"/>
    <x v="0"/>
    <x v="15"/>
    <x v="5"/>
    <x v="14"/>
  </r>
  <r>
    <x v="7"/>
    <x v="14"/>
    <x v="7"/>
    <x v="13"/>
    <x v="1"/>
    <x v="7"/>
    <x v="4"/>
    <x v="2"/>
    <x v="2"/>
    <x v="15"/>
    <x v="4"/>
    <x v="2"/>
    <x v="0"/>
    <x v="15"/>
  </r>
  <r>
    <x v="10"/>
    <x v="8"/>
    <x v="8"/>
    <x v="7"/>
    <x v="8"/>
    <x v="8"/>
    <x v="8"/>
    <x v="7"/>
    <x v="8"/>
    <x v="7"/>
    <x v="6"/>
    <x v="7"/>
    <x v="7"/>
    <x v="8"/>
  </r>
  <r>
    <x v="9"/>
    <x v="9"/>
    <x v="9"/>
    <x v="8"/>
    <x v="9"/>
    <x v="9"/>
    <x v="9"/>
    <x v="8"/>
    <x v="9"/>
    <x v="8"/>
    <x v="7"/>
    <x v="8"/>
    <x v="8"/>
    <x v="9"/>
  </r>
  <r>
    <x v="0"/>
    <x v="15"/>
    <x v="3"/>
    <x v="14"/>
    <x v="7"/>
    <x v="14"/>
    <x v="7"/>
    <x v="14"/>
    <x v="7"/>
    <x v="16"/>
    <x v="9"/>
    <x v="16"/>
    <x v="9"/>
    <x v="16"/>
  </r>
  <r>
    <x v="1"/>
    <x v="16"/>
    <x v="6"/>
    <x v="15"/>
    <x v="5"/>
    <x v="15"/>
    <x v="0"/>
    <x v="15"/>
    <x v="12"/>
    <x v="17"/>
    <x v="8"/>
    <x v="17"/>
    <x v="10"/>
    <x v="17"/>
  </r>
  <r>
    <x v="2"/>
    <x v="17"/>
    <x v="1"/>
    <x v="16"/>
    <x v="10"/>
    <x v="16"/>
    <x v="5"/>
    <x v="16"/>
    <x v="2"/>
    <x v="18"/>
    <x v="3"/>
    <x v="18"/>
    <x v="1"/>
    <x v="18"/>
  </r>
  <r>
    <x v="3"/>
    <x v="18"/>
    <x v="4"/>
    <x v="17"/>
    <x v="1"/>
    <x v="17"/>
    <x v="6"/>
    <x v="17"/>
    <x v="12"/>
    <x v="19"/>
    <x v="1"/>
    <x v="19"/>
    <x v="9"/>
    <x v="19"/>
  </r>
  <r>
    <x v="4"/>
    <x v="19"/>
    <x v="7"/>
    <x v="18"/>
    <x v="0"/>
    <x v="18"/>
    <x v="2"/>
    <x v="18"/>
    <x v="0"/>
    <x v="20"/>
    <x v="5"/>
    <x v="20"/>
    <x v="11"/>
    <x v="20"/>
  </r>
  <r>
    <x v="5"/>
    <x v="20"/>
    <x v="5"/>
    <x v="19"/>
    <x v="10"/>
    <x v="19"/>
    <x v="1"/>
    <x v="19"/>
    <x v="4"/>
    <x v="21"/>
    <x v="10"/>
    <x v="21"/>
    <x v="0"/>
    <x v="13"/>
  </r>
  <r>
    <x v="6"/>
    <x v="21"/>
    <x v="2"/>
    <x v="20"/>
    <x v="6"/>
    <x v="20"/>
    <x v="3"/>
    <x v="20"/>
    <x v="6"/>
    <x v="22"/>
    <x v="11"/>
    <x v="22"/>
    <x v="6"/>
    <x v="13"/>
  </r>
  <r>
    <x v="7"/>
    <x v="22"/>
    <x v="0"/>
    <x v="21"/>
    <x v="4"/>
    <x v="21"/>
    <x v="4"/>
    <x v="21"/>
    <x v="5"/>
    <x v="23"/>
    <x v="11"/>
    <x v="23"/>
    <x v="3"/>
    <x v="21"/>
  </r>
  <r>
    <x v="11"/>
    <x v="8"/>
    <x v="8"/>
    <x v="7"/>
    <x v="8"/>
    <x v="8"/>
    <x v="8"/>
    <x v="7"/>
    <x v="8"/>
    <x v="7"/>
    <x v="6"/>
    <x v="7"/>
    <x v="7"/>
    <x v="8"/>
  </r>
  <r>
    <x v="11"/>
    <x v="8"/>
    <x v="8"/>
    <x v="7"/>
    <x v="8"/>
    <x v="8"/>
    <x v="8"/>
    <x v="7"/>
    <x v="8"/>
    <x v="7"/>
    <x v="6"/>
    <x v="7"/>
    <x v="7"/>
    <x v="8"/>
  </r>
</pivotCacheRecords>
</file>

<file path=xl/pivotCache/pivotCacheRecords2.xml><?xml version="1.0" encoding="utf-8"?>
<pivotCacheRecords xmlns:r="http://schemas.openxmlformats.org/officeDocument/2006/relationships" xmlns="http://schemas.openxmlformats.org/spreadsheetml/2006/main" count="8">
  <r>
    <x v="0"/>
    <x v="0"/>
    <x v="0"/>
    <x v="0"/>
    <x v="0"/>
    <x v="0"/>
    <x v="0"/>
    <x v="0"/>
    <x v="0"/>
    <x v="0"/>
    <x v="0"/>
    <x v="0"/>
    <x v="0"/>
    <x v="0"/>
  </r>
  <r>
    <x v="1"/>
    <x v="1"/>
    <x v="1"/>
    <x v="1"/>
    <x v="1"/>
    <x v="1"/>
    <x v="1"/>
    <x v="1"/>
    <x v="1"/>
    <x v="1"/>
    <x v="1"/>
    <x v="1"/>
    <x v="1"/>
    <x v="1"/>
  </r>
  <r>
    <x v="2"/>
    <x v="2"/>
    <x v="2"/>
    <x v="2"/>
    <x v="2"/>
    <x v="2"/>
    <x v="2"/>
    <x v="2"/>
    <x v="2"/>
    <x v="2"/>
    <x v="2"/>
    <x v="2"/>
    <x v="2"/>
    <x v="2"/>
  </r>
  <r>
    <x v="3"/>
    <x v="3"/>
    <x v="3"/>
    <x v="3"/>
    <x v="3"/>
    <x v="3"/>
    <x v="3"/>
    <x v="3"/>
    <x v="3"/>
    <x v="2"/>
    <x v="2"/>
    <x v="2"/>
    <x v="2"/>
    <x v="3"/>
  </r>
  <r>
    <x v="4"/>
    <x v="4"/>
    <x v="4"/>
    <x v="4"/>
    <x v="4"/>
    <x v="4"/>
    <x v="4"/>
    <x v="4"/>
    <x v="4"/>
    <x v="3"/>
    <x v="3"/>
    <x v="3"/>
    <x v="3"/>
    <x v="4"/>
  </r>
  <r>
    <x v="5"/>
    <x v="5"/>
    <x v="5"/>
    <x v="5"/>
    <x v="5"/>
    <x v="5"/>
    <x v="5"/>
    <x v="5"/>
    <x v="5"/>
    <x v="4"/>
    <x v="3"/>
    <x v="4"/>
    <x v="4"/>
    <x v="5"/>
  </r>
  <r>
    <x v="6"/>
    <x v="6"/>
    <x v="6"/>
    <x v="6"/>
    <x v="6"/>
    <x v="6"/>
    <x v="6"/>
    <x v="6"/>
    <x v="6"/>
    <x v="5"/>
    <x v="4"/>
    <x v="5"/>
    <x v="5"/>
    <x v="6"/>
  </r>
  <r>
    <x v="7"/>
    <x v="7"/>
    <x v="7"/>
    <x v="3"/>
    <x v="7"/>
    <x v="7"/>
    <x v="7"/>
    <x v="3"/>
    <x v="7"/>
    <x v="6"/>
    <x v="5"/>
    <x v="6"/>
    <x v="6"/>
    <x v="7"/>
  </r>
</pivotCacheRecords>
</file>

<file path=xl/pivotCache/pivotCacheRecords3.xml><?xml version="1.0" encoding="utf-8"?>
<pivotCacheRecords xmlns:r="http://schemas.openxmlformats.org/officeDocument/2006/relationships" xmlns="http://schemas.openxmlformats.org/spreadsheetml/2006/main" count="8">
  <r>
    <x v="0"/>
    <x v="0"/>
    <x v="0"/>
    <x v="0"/>
    <x v="0"/>
    <x v="0"/>
    <x v="0"/>
    <x v="0"/>
    <x v="0"/>
    <x v="0"/>
    <x v="0"/>
    <x v="0"/>
    <x v="0"/>
    <x v="0"/>
  </r>
  <r>
    <x v="1"/>
    <x v="1"/>
    <x v="1"/>
    <x v="1"/>
    <x v="1"/>
    <x v="1"/>
    <x v="1"/>
    <x v="1"/>
    <x v="1"/>
    <x v="1"/>
    <x v="1"/>
    <x v="1"/>
    <x v="1"/>
    <x v="0"/>
  </r>
  <r>
    <x v="2"/>
    <x v="0"/>
    <x v="0"/>
    <x v="2"/>
    <x v="2"/>
    <x v="2"/>
    <x v="2"/>
    <x v="2"/>
    <x v="2"/>
    <x v="2"/>
    <x v="2"/>
    <x v="2"/>
    <x v="1"/>
    <x v="1"/>
  </r>
  <r>
    <x v="3"/>
    <x v="2"/>
    <x v="2"/>
    <x v="3"/>
    <x v="3"/>
    <x v="3"/>
    <x v="2"/>
    <x v="3"/>
    <x v="3"/>
    <x v="3"/>
    <x v="1"/>
    <x v="3"/>
    <x v="1"/>
    <x v="2"/>
  </r>
  <r>
    <x v="4"/>
    <x v="3"/>
    <x v="3"/>
    <x v="4"/>
    <x v="4"/>
    <x v="4"/>
    <x v="3"/>
    <x v="1"/>
    <x v="1"/>
    <x v="4"/>
    <x v="3"/>
    <x v="4"/>
    <x v="2"/>
    <x v="3"/>
  </r>
  <r>
    <x v="5"/>
    <x v="4"/>
    <x v="4"/>
    <x v="5"/>
    <x v="5"/>
    <x v="5"/>
    <x v="4"/>
    <x v="4"/>
    <x v="4"/>
    <x v="5"/>
    <x v="4"/>
    <x v="5"/>
    <x v="3"/>
    <x v="4"/>
  </r>
  <r>
    <x v="6"/>
    <x v="5"/>
    <x v="5"/>
    <x v="5"/>
    <x v="5"/>
    <x v="0"/>
    <x v="0"/>
    <x v="0"/>
    <x v="0"/>
    <x v="6"/>
    <x v="5"/>
    <x v="6"/>
    <x v="4"/>
    <x v="5"/>
  </r>
  <r>
    <x v="7"/>
    <x v="6"/>
    <x v="6"/>
    <x v="6"/>
    <x v="6"/>
    <x v="6"/>
    <x v="5"/>
    <x v="5"/>
    <x v="5"/>
    <x v="7"/>
    <x v="6"/>
    <x v="7"/>
    <x v="5"/>
    <x v="6"/>
  </r>
</pivotCacheRecords>
</file>

<file path=xl/pivotCache/pivotCacheRecords4.xml><?xml version="1.0" encoding="utf-8"?>
<pivotCacheRecords xmlns:r="http://schemas.openxmlformats.org/officeDocument/2006/relationships" xmlns="http://schemas.openxmlformats.org/spreadsheetml/2006/main" count="8">
  <r>
    <x v="0"/>
    <x v="0"/>
    <x v="0"/>
    <x v="0"/>
    <x v="0"/>
    <x v="0"/>
    <x v="0"/>
    <x v="0"/>
    <x v="0"/>
    <x v="0"/>
    <x v="0"/>
    <x v="0"/>
    <x v="0"/>
    <x v="0"/>
  </r>
  <r>
    <x v="1"/>
    <x v="1"/>
    <x v="1"/>
    <x v="1"/>
    <x v="1"/>
    <x v="1"/>
    <x v="1"/>
    <x v="1"/>
    <x v="1"/>
    <x v="1"/>
    <x v="1"/>
    <x v="1"/>
    <x v="1"/>
    <x v="1"/>
  </r>
  <r>
    <x v="2"/>
    <x v="2"/>
    <x v="2"/>
    <x v="2"/>
    <x v="2"/>
    <x v="2"/>
    <x v="2"/>
    <x v="2"/>
    <x v="2"/>
    <x v="2"/>
    <x v="2"/>
    <x v="2"/>
    <x v="2"/>
    <x v="2"/>
  </r>
  <r>
    <x v="3"/>
    <x v="3"/>
    <x v="3"/>
    <x v="3"/>
    <x v="3"/>
    <x v="3"/>
    <x v="3"/>
    <x v="3"/>
    <x v="1"/>
    <x v="3"/>
    <x v="3"/>
    <x v="3"/>
    <x v="0"/>
    <x v="3"/>
  </r>
  <r>
    <x v="4"/>
    <x v="4"/>
    <x v="4"/>
    <x v="4"/>
    <x v="4"/>
    <x v="4"/>
    <x v="4"/>
    <x v="4"/>
    <x v="3"/>
    <x v="4"/>
    <x v="4"/>
    <x v="4"/>
    <x v="3"/>
    <x v="4"/>
  </r>
  <r>
    <x v="5"/>
    <x v="5"/>
    <x v="5"/>
    <x v="5"/>
    <x v="2"/>
    <x v="5"/>
    <x v="5"/>
    <x v="5"/>
    <x v="4"/>
    <x v="5"/>
    <x v="5"/>
    <x v="5"/>
    <x v="4"/>
    <x v="5"/>
  </r>
  <r>
    <x v="6"/>
    <x v="6"/>
    <x v="6"/>
    <x v="6"/>
    <x v="5"/>
    <x v="6"/>
    <x v="6"/>
    <x v="6"/>
    <x v="5"/>
    <x v="6"/>
    <x v="6"/>
    <x v="6"/>
    <x v="5"/>
    <x v="5"/>
  </r>
  <r>
    <x v="7"/>
    <x v="7"/>
    <x v="7"/>
    <x v="7"/>
    <x v="6"/>
    <x v="7"/>
    <x v="7"/>
    <x v="7"/>
    <x v="6"/>
    <x v="7"/>
    <x v="6"/>
    <x v="7"/>
    <x v="6"/>
    <x v="6"/>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Col="1" showEmptyRow="1" compact="0" compactData="0" multipleFieldFilters="0">
  <location ref="A2:B11" firstHeaderRow="1" firstDataRow="1" firstDataCol="1"/>
  <pivotFields count="14">
    <pivotField name="Player" axis="axisRow" compact="0" numFmtId="49" outline="0" showAll="0" sortType="descending">
      <items count="13">
        <item x="0"/>
        <item x="7"/>
        <item x="1"/>
        <item x="3"/>
        <item x="2"/>
        <item h="1" x="9"/>
        <item x="4"/>
        <item x="6"/>
        <item x="5"/>
        <item h="1" x="8"/>
        <item h="1" x="10"/>
        <item h="1" x="11"/>
        <item t="default" sd="0"/>
      </items>
    </pivotField>
    <pivotField name="Week 1" compact="0" outline="0" showAll="0">
      <items count="24">
        <item x="14"/>
        <item x="7"/>
        <item x="19"/>
        <item x="11"/>
        <item x="13"/>
        <item x="5"/>
        <item x="4"/>
        <item x="1"/>
        <item x="20"/>
        <item x="2"/>
        <item x="18"/>
        <item x="6"/>
        <item x="17"/>
        <item x="12"/>
        <item x="0"/>
        <item x="21"/>
        <item x="3"/>
        <item x="8"/>
        <item x="9"/>
        <item x="10"/>
        <item x="16"/>
        <item x="22"/>
        <item x="15"/>
        <item t="default" sd="0"/>
      </items>
    </pivotField>
    <pivotField name="Points" compact="0" outline="0" showAll="0">
      <items count="12">
        <item x="7"/>
        <item x="3"/>
        <item x="0"/>
        <item x="6"/>
        <item x="2"/>
        <item x="1"/>
        <item x="4"/>
        <item x="5"/>
        <item x="8"/>
        <item x="9"/>
        <item x="10"/>
        <item t="default" sd="0"/>
      </items>
    </pivotField>
    <pivotField name="Week 2" compact="0" outline="0" showAll="0">
      <items count="23">
        <item x="8"/>
        <item x="0"/>
        <item x="10"/>
        <item x="9"/>
        <item x="4"/>
        <item x="5"/>
        <item x="6"/>
        <item x="2"/>
        <item x="3"/>
        <item x="1"/>
        <item x="7"/>
        <item x="18"/>
        <item x="21"/>
        <item x="11"/>
        <item x="15"/>
        <item x="12"/>
        <item x="20"/>
        <item x="16"/>
        <item x="19"/>
        <item x="14"/>
        <item x="13"/>
        <item x="17"/>
        <item t="default" sd="0"/>
      </items>
    </pivotField>
    <pivotField name="Points2" compact="0" outline="0" showAll="0">
      <items count="12">
        <item x="0"/>
        <item x="1"/>
        <item x="7"/>
        <item x="3"/>
        <item x="2"/>
        <item x="6"/>
        <item x="5"/>
        <item x="4"/>
        <item x="8"/>
        <item x="9"/>
        <item x="10"/>
        <item t="default" sd="0"/>
      </items>
    </pivotField>
    <pivotField name="Week 3" compact="0" outline="0" showAll="0">
      <items count="23">
        <item x="0"/>
        <item x="13"/>
        <item x="12"/>
        <item x="4"/>
        <item x="6"/>
        <item x="7"/>
        <item x="5"/>
        <item x="21"/>
        <item x="17"/>
        <item x="2"/>
        <item x="14"/>
        <item x="16"/>
        <item x="18"/>
        <item x="11"/>
        <item x="3"/>
        <item x="1"/>
        <item x="8"/>
        <item x="9"/>
        <item x="10"/>
        <item x="20"/>
        <item x="19"/>
        <item x="15"/>
        <item t="default" sd="0"/>
      </items>
    </pivotField>
    <pivotField name="Points3" compact="0" outline="0" showAll="0">
      <items count="12">
        <item x="0"/>
        <item x="1"/>
        <item x="3"/>
        <item x="2"/>
        <item x="5"/>
        <item x="7"/>
        <item x="6"/>
        <item x="4"/>
        <item x="8"/>
        <item x="9"/>
        <item x="10"/>
        <item t="default" sd="0"/>
      </items>
    </pivotField>
    <pivotField name="Week 4" compact="0" outline="0" showAll="0">
      <items count="23">
        <item x="8"/>
        <item x="1"/>
        <item x="4"/>
        <item x="10"/>
        <item x="5"/>
        <item x="0"/>
        <item x="2"/>
        <item x="9"/>
        <item x="6"/>
        <item x="3"/>
        <item x="7"/>
        <item x="12"/>
        <item x="13"/>
        <item x="19"/>
        <item x="21"/>
        <item x="18"/>
        <item x="16"/>
        <item x="11"/>
        <item x="20"/>
        <item x="14"/>
        <item x="15"/>
        <item x="17"/>
        <item t="default" sd="0"/>
      </items>
    </pivotField>
    <pivotField name="Points4" compact="0" outline="0" showAll="0">
      <items count="14">
        <item x="9"/>
        <item x="1"/>
        <item x="12"/>
        <item x="3"/>
        <item x="7"/>
        <item x="10"/>
        <item x="6"/>
        <item x="2"/>
        <item x="0"/>
        <item x="5"/>
        <item x="4"/>
        <item x="8"/>
        <item x="11"/>
        <item t="default" sd="0"/>
      </items>
    </pivotField>
    <pivotField name="Week 5" compact="0" outline="0" showAll="0">
      <items count="25">
        <item x="11"/>
        <item x="9"/>
        <item x="3"/>
        <item x="4"/>
        <item x="0"/>
        <item x="5"/>
        <item x="2"/>
        <item x="10"/>
        <item x="6"/>
        <item x="1"/>
        <item x="7"/>
        <item x="8"/>
        <item x="18"/>
        <item x="22"/>
        <item x="23"/>
        <item x="14"/>
        <item x="16"/>
        <item x="15"/>
        <item x="13"/>
        <item x="17"/>
        <item x="20"/>
        <item x="19"/>
        <item x="21"/>
        <item x="12"/>
        <item t="default" sd="0"/>
      </items>
    </pivotField>
    <pivotField name="Points5" compact="0" outline="0" showAll="0">
      <items count="13">
        <item x="3"/>
        <item x="1"/>
        <item x="5"/>
        <item x="2"/>
        <item x="4"/>
        <item x="0"/>
        <item x="6"/>
        <item x="7"/>
        <item x="10"/>
        <item x="8"/>
        <item x="9"/>
        <item x="11"/>
        <item t="default" sd="0"/>
      </items>
    </pivotField>
    <pivotField name="Week 6" compact="0" outline="0" showAll="0">
      <items count="25">
        <item x="12"/>
        <item x="10"/>
        <item x="1"/>
        <item x="18"/>
        <item x="11"/>
        <item x="23"/>
        <item x="3"/>
        <item x="0"/>
        <item x="6"/>
        <item x="21"/>
        <item x="22"/>
        <item x="4"/>
        <item x="5"/>
        <item x="14"/>
        <item x="2"/>
        <item x="7"/>
        <item x="8"/>
        <item x="16"/>
        <item x="19"/>
        <item x="17"/>
        <item x="9"/>
        <item x="20"/>
        <item x="13"/>
        <item x="15"/>
        <item t="default" sd="0"/>
      </items>
    </pivotField>
    <pivotField name="Points6" compact="0" outline="0" showAll="0">
      <items count="13">
        <item x="1"/>
        <item x="11"/>
        <item x="2"/>
        <item x="10"/>
        <item x="5"/>
        <item x="9"/>
        <item x="4"/>
        <item x="6"/>
        <item x="0"/>
        <item x="3"/>
        <item x="7"/>
        <item x="8"/>
        <item t="default" sd="0"/>
      </items>
    </pivotField>
    <pivotField name="Total" axis="axisValues" dataField="1" compact="0" outline="0" showAll="0"/>
  </pivotFields>
  <rowFields count="1">
    <field x="0"/>
  </rowFields>
  <rowItems count="9">
    <i>
      <x v="8"/>
    </i>
    <i>
      <x v="1"/>
    </i>
    <i>
      <x v="7"/>
    </i>
    <i>
      <x v="6"/>
    </i>
    <i>
      <x/>
    </i>
    <i>
      <x v="3"/>
    </i>
    <i>
      <x v="2"/>
    </i>
    <i>
      <x v="4"/>
    </i>
    <i t="grand">
      <x/>
    </i>
  </rowItems>
  <colItems count="1">
    <i/>
  </colItems>
  <dataFields count="1">
    <dataField name="Sum of Total" fld="13"/>
  </dataFields>
  <pivotTableStyleInfo name="PivotStyleCustom01" showRowHeaders="1" showColHeaders="1" showRowStripes="1" showColStripes="0" showLastColumn="1"/>
</pivotTableDefinition>
</file>

<file path=xl/pivotTables/pivotTable2.xml><?xml version="1.0" encoding="utf-8"?>
<pivotTableDefinition xmlns="http://schemas.openxmlformats.org/spreadsheetml/2006/main" name="PivotTable3" cacheId="1" dataPosition="0" autoFormatId="0" applyNumberFormats="0" applyBorderFormats="0" applyFontFormats="0" applyPatternFormats="0" applyAlignmentFormats="0" applyWidthHeightFormats="1" dataCaption="" missingCaption="" pivotTableStyle="PivotStyleCustom02" updatedVersion="7" useAutoFormatting="1" createdVersion="7" indent="0" showEmptyCol="1" showEmptyRow="1" compact="0" compactData="0" multipleFieldFilters="0">
  <location ref="A2:B11" firstHeaderRow="1" firstDataRow="1" firstDataCol="1"/>
  <pivotFields count="14">
    <pivotField name="Player" axis="axisRow" compact="0" numFmtId="49" outline="0" showAll="0" sortType="descending">
      <items count="9">
        <item x="0"/>
        <item x="7"/>
        <item x="1"/>
        <item x="3"/>
        <item x="2"/>
        <item x="4"/>
        <item x="6"/>
        <item x="5"/>
        <item t="default" sd="0"/>
      </items>
    </pivotField>
    <pivotField name="Week 1" compact="0" outline="0" showAll="0">
      <items count="9">
        <item x="7"/>
        <item x="5"/>
        <item x="4"/>
        <item x="1"/>
        <item x="2"/>
        <item x="6"/>
        <item x="0"/>
        <item x="3"/>
        <item t="default" sd="0"/>
      </items>
    </pivotField>
    <pivotField name="Points" compact="0" outline="0" showAll="0">
      <items count="9">
        <item x="7"/>
        <item x="3"/>
        <item x="0"/>
        <item x="6"/>
        <item x="2"/>
        <item x="1"/>
        <item x="4"/>
        <item x="5"/>
        <item t="default" sd="0"/>
      </items>
    </pivotField>
    <pivotField name="Week 2" compact="0" outline="0" showAll="0">
      <items count="8">
        <item x="0"/>
        <item x="4"/>
        <item x="5"/>
        <item x="6"/>
        <item x="2"/>
        <item x="3"/>
        <item x="1"/>
        <item t="default" sd="0"/>
      </items>
    </pivotField>
    <pivotField name="Points2" compact="0" outline="0" showAll="0">
      <items count="9">
        <item x="0"/>
        <item x="1"/>
        <item x="7"/>
        <item x="3"/>
        <item x="2"/>
        <item x="6"/>
        <item x="5"/>
        <item x="4"/>
        <item t="default" sd="0"/>
      </items>
    </pivotField>
    <pivotField name="Week 3" compact="0" outline="0" showAll="0">
      <items count="9">
        <item x="0"/>
        <item x="4"/>
        <item x="6"/>
        <item x="7"/>
        <item x="5"/>
        <item x="2"/>
        <item x="3"/>
        <item x="1"/>
        <item t="default" sd="0"/>
      </items>
    </pivotField>
    <pivotField name="Points3" compact="0" outline="0" showAll="0">
      <items count="9">
        <item x="0"/>
        <item x="1"/>
        <item x="3"/>
        <item x="2"/>
        <item x="5"/>
        <item x="7"/>
        <item x="6"/>
        <item x="4"/>
        <item t="default" sd="0"/>
      </items>
    </pivotField>
    <pivotField name="Week 4" compact="0" outline="0" showAll="0">
      <items count="8">
        <item x="1"/>
        <item x="4"/>
        <item x="5"/>
        <item x="0"/>
        <item x="2"/>
        <item x="6"/>
        <item x="3"/>
        <item t="default" sd="0"/>
      </items>
    </pivotField>
    <pivotField name="Points4" compact="0" outline="0" showAll="0">
      <items count="9">
        <item x="1"/>
        <item x="3"/>
        <item x="7"/>
        <item x="6"/>
        <item x="2"/>
        <item x="0"/>
        <item x="5"/>
        <item x="4"/>
        <item t="default" sd="0"/>
      </items>
    </pivotField>
    <pivotField name="Week 5" compact="0" outline="0" showAll="0">
      <items count="8">
        <item x="3"/>
        <item x="4"/>
        <item x="0"/>
        <item x="5"/>
        <item x="2"/>
        <item x="6"/>
        <item x="1"/>
        <item t="default" sd="0"/>
      </items>
    </pivotField>
    <pivotField name="Points5" compact="0" outline="0" showAll="0">
      <items count="7">
        <item x="3"/>
        <item x="1"/>
        <item x="5"/>
        <item x="2"/>
        <item x="4"/>
        <item x="0"/>
        <item t="default" sd="0"/>
      </items>
    </pivotField>
    <pivotField name="Week 6" compact="0" outline="0" showAll="0">
      <items count="8">
        <item x="1"/>
        <item x="3"/>
        <item x="0"/>
        <item x="6"/>
        <item x="4"/>
        <item x="5"/>
        <item x="2"/>
        <item t="default" sd="0"/>
      </items>
    </pivotField>
    <pivotField name="Points6" compact="0" outline="0" showAll="0">
      <items count="8">
        <item x="1"/>
        <item x="2"/>
        <item x="5"/>
        <item x="4"/>
        <item x="6"/>
        <item x="0"/>
        <item x="3"/>
        <item t="default" sd="0"/>
      </items>
    </pivotField>
    <pivotField name="Total" axis="axisValues" dataField="1" compact="0" outline="0" showAll="0"/>
  </pivotFields>
  <rowFields count="1">
    <field x="0"/>
  </rowFields>
  <rowItems count="9">
    <i>
      <x v="5"/>
    </i>
    <i>
      <x v="7"/>
    </i>
    <i>
      <x v="6"/>
    </i>
    <i>
      <x v="4"/>
    </i>
    <i>
      <x/>
    </i>
    <i>
      <x v="1"/>
    </i>
    <i>
      <x v="3"/>
    </i>
    <i>
      <x v="2"/>
    </i>
    <i t="grand">
      <x/>
    </i>
  </rowItems>
  <colItems count="1">
    <i/>
  </colItems>
  <dataFields count="1">
    <dataField name="Sum of Total" fld="13"/>
  </dataFields>
  <pivotTableStyleInfo name="PivotStyleCustom02" showRowHeaders="1" showColHeaders="1" showRowStripes="1" showColStripes="0" showLastColumn="1"/>
</pivotTableDefinition>
</file>

<file path=xl/pivotTables/pivotTable3.xml><?xml version="1.0" encoding="utf-8"?>
<pivotTableDefinition xmlns="http://schemas.openxmlformats.org/spreadsheetml/2006/main" name="PivotTable4" cacheId="2" dataPosition="0" autoFormatId="0" applyNumberFormats="0" applyBorderFormats="0" applyFontFormats="0" applyPatternFormats="0" applyAlignmentFormats="0" applyWidthHeightFormats="1" dataCaption="" missingCaption="" pivotTableStyle="PivotStyleCustom03" updatedVersion="7" useAutoFormatting="1" createdVersion="7" indent="0" showEmptyCol="1" showEmptyRow="1" compact="0" compactData="0" multipleFieldFilters="0">
  <location ref="A2:B11" firstHeaderRow="1" firstDataRow="1" firstDataCol="1"/>
  <pivotFields count="14">
    <pivotField name="Player" axis="axisRow" compact="0" numFmtId="49" outline="0" showAll="0" sortType="descending">
      <items count="9">
        <item x="0"/>
        <item x="7"/>
        <item x="1"/>
        <item x="3"/>
        <item x="2"/>
        <item x="4"/>
        <item x="6"/>
        <item x="5"/>
        <item t="default" sd="0"/>
      </items>
    </pivotField>
    <pivotField name="Week 1" compact="0" outline="0" showAll="0">
      <items count="8">
        <item x="6"/>
        <item x="2"/>
        <item x="4"/>
        <item x="1"/>
        <item x="5"/>
        <item x="3"/>
        <item x="0"/>
        <item t="default" sd="0"/>
      </items>
    </pivotField>
    <pivotField name="Points" compact="0" outline="0" showAll="0">
      <items count="8">
        <item x="6"/>
        <item x="0"/>
        <item x="3"/>
        <item x="5"/>
        <item x="1"/>
        <item x="4"/>
        <item x="2"/>
        <item t="default" sd="0"/>
      </items>
    </pivotField>
    <pivotField name="Week 2" compact="0" outline="0" showAll="0">
      <items count="8">
        <item x="2"/>
        <item x="1"/>
        <item x="3"/>
        <item x="4"/>
        <item x="5"/>
        <item x="0"/>
        <item x="6"/>
        <item t="default" sd="0"/>
      </items>
    </pivotField>
    <pivotField name="Points2" compact="0" outline="0" showAll="0">
      <items count="8">
        <item x="2"/>
        <item x="6"/>
        <item x="0"/>
        <item x="5"/>
        <item x="4"/>
        <item x="3"/>
        <item x="1"/>
        <item t="default" sd="0"/>
      </items>
    </pivotField>
    <pivotField name="Week 3" compact="0" outline="0" showAll="0">
      <items count="8">
        <item x="3"/>
        <item x="2"/>
        <item x="6"/>
        <item x="4"/>
        <item x="0"/>
        <item x="5"/>
        <item x="1"/>
        <item t="default" sd="0"/>
      </items>
    </pivotField>
    <pivotField name="Points3" compact="0" outline="0" showAll="0">
      <items count="7">
        <item x="2"/>
        <item x="1"/>
        <item x="4"/>
        <item x="0"/>
        <item x="3"/>
        <item x="5"/>
        <item t="default" sd="0"/>
      </items>
    </pivotField>
    <pivotField name="Week 4" compact="0" outline="0" showAll="0">
      <items count="7">
        <item x="3"/>
        <item x="1"/>
        <item x="5"/>
        <item x="0"/>
        <item x="4"/>
        <item x="2"/>
        <item t="default" sd="0"/>
      </items>
    </pivotField>
    <pivotField name="Points4" compact="0" outline="0" showAll="0">
      <items count="7">
        <item x="2"/>
        <item x="4"/>
        <item x="0"/>
        <item x="5"/>
        <item x="1"/>
        <item x="3"/>
        <item t="default" sd="0"/>
      </items>
    </pivotField>
    <pivotField name="Week 5" compact="0" outline="0" showAll="0">
      <items count="9">
        <item x="3"/>
        <item x="1"/>
        <item x="6"/>
        <item x="7"/>
        <item x="5"/>
        <item x="0"/>
        <item x="4"/>
        <item x="2"/>
        <item t="default" sd="0"/>
      </items>
    </pivotField>
    <pivotField name="Points5" compact="0" outline="0" showAll="0">
      <items count="8">
        <item x="1"/>
        <item x="2"/>
        <item x="3"/>
        <item x="0"/>
        <item x="4"/>
        <item x="6"/>
        <item x="5"/>
        <item t="default" sd="0"/>
      </items>
    </pivotField>
    <pivotField name="Week 6" compact="0" outline="0" showAll="0">
      <items count="9">
        <item x="3"/>
        <item x="1"/>
        <item x="2"/>
        <item x="5"/>
        <item x="7"/>
        <item x="0"/>
        <item x="4"/>
        <item x="6"/>
        <item t="default" sd="0"/>
      </items>
    </pivotField>
    <pivotField name="Points6" compact="0" outline="0" showAll="0">
      <items count="7">
        <item x="1"/>
        <item x="4"/>
        <item x="2"/>
        <item x="0"/>
        <item x="5"/>
        <item x="3"/>
        <item t="default" sd="0"/>
      </items>
    </pivotField>
    <pivotField name="Total" axis="axisValues" dataField="1" compact="0" outline="0" showAll="0"/>
  </pivotFields>
  <rowFields count="1">
    <field x="0"/>
  </rowFields>
  <rowItems count="9">
    <i>
      <x v="5"/>
    </i>
    <i>
      <x v="7"/>
    </i>
    <i>
      <x v="6"/>
    </i>
    <i>
      <x v="1"/>
    </i>
    <i>
      <x v="3"/>
    </i>
    <i>
      <x/>
    </i>
    <i>
      <x v="2"/>
    </i>
    <i>
      <x v="4"/>
    </i>
    <i t="grand">
      <x/>
    </i>
  </rowItems>
  <colItems count="1">
    <i/>
  </colItems>
  <dataFields count="1">
    <dataField name="Sum of Total" fld="13"/>
  </dataFields>
  <pivotTableStyleInfo name="PivotStyleCustom03" showRowHeaders="1" showColHeaders="1" showRowStripes="1" showColStripes="0" showLastColumn="1"/>
</pivotTableDefinition>
</file>

<file path=xl/pivotTables/pivotTable4.xml><?xml version="1.0" encoding="utf-8"?>
<pivotTableDefinition xmlns="http://schemas.openxmlformats.org/spreadsheetml/2006/main" name="PivotTable4" cacheId="3" dataPosition="0" autoFormatId="0" applyNumberFormats="0" applyBorderFormats="0" applyFontFormats="0" applyPatternFormats="0" applyAlignmentFormats="0" applyWidthHeightFormats="1" dataCaption="" missingCaption="" pivotTableStyle="PivotStyleCustom04" updatedVersion="7" useAutoFormatting="1" createdVersion="7" indent="0" showEmptyCol="1" showEmptyRow="1" compact="0" compactData="0" multipleFieldFilters="0">
  <location ref="A2:B11" firstHeaderRow="1" firstDataRow="1" firstDataCol="1"/>
  <pivotFields count="14">
    <pivotField name="Player" axis="axisRow" compact="0" numFmtId="49" outline="0" showAll="0" sortType="descending">
      <items count="9">
        <item x="0"/>
        <item x="7"/>
        <item x="1"/>
        <item x="3"/>
        <item x="2"/>
        <item x="4"/>
        <item x="6"/>
        <item x="5"/>
        <item t="default" sd="0"/>
      </items>
    </pivotField>
    <pivotField name="Week 1" compact="0" outline="0" showAll="0">
      <items count="9">
        <item x="4"/>
        <item x="5"/>
        <item x="3"/>
        <item x="2"/>
        <item x="6"/>
        <item x="1"/>
        <item x="7"/>
        <item x="0"/>
        <item t="default" sd="0"/>
      </items>
    </pivotField>
    <pivotField name="Points" compact="0" outline="0" showAll="0">
      <items count="9">
        <item x="4"/>
        <item x="0"/>
        <item x="7"/>
        <item x="1"/>
        <item x="6"/>
        <item x="2"/>
        <item x="3"/>
        <item x="5"/>
        <item t="default" sd="0"/>
      </items>
    </pivotField>
    <pivotField name="Week 2" compact="0" outline="0" showAll="0">
      <items count="9">
        <item x="4"/>
        <item x="7"/>
        <item x="1"/>
        <item x="6"/>
        <item x="2"/>
        <item x="5"/>
        <item x="0"/>
        <item x="3"/>
        <item t="default" sd="0"/>
      </items>
    </pivotField>
    <pivotField name="Points2" compact="0" outline="0" showAll="0">
      <items count="8">
        <item x="4"/>
        <item x="3"/>
        <item x="0"/>
        <item x="2"/>
        <item x="5"/>
        <item x="1"/>
        <item x="6"/>
        <item t="default" sd="0"/>
      </items>
    </pivotField>
    <pivotField name="Week 3" compact="0" outline="0" showAll="0">
      <items count="9">
        <item x="7"/>
        <item x="3"/>
        <item x="0"/>
        <item x="2"/>
        <item x="4"/>
        <item x="6"/>
        <item x="5"/>
        <item x="1"/>
        <item t="default" sd="0"/>
      </items>
    </pivotField>
    <pivotField name="Points3" compact="0" outline="0" showAll="0">
      <items count="9">
        <item x="1"/>
        <item x="5"/>
        <item x="6"/>
        <item x="4"/>
        <item x="2"/>
        <item x="0"/>
        <item x="3"/>
        <item x="7"/>
        <item t="default" sd="0"/>
      </items>
    </pivotField>
    <pivotField name="Week 4" compact="0" outline="0" showAll="0">
      <items count="9">
        <item x="5"/>
        <item x="7"/>
        <item x="4"/>
        <item x="2"/>
        <item x="6"/>
        <item x="0"/>
        <item x="1"/>
        <item x="3"/>
        <item t="default" sd="0"/>
      </items>
    </pivotField>
    <pivotField name="Points4" compact="0" outline="0" showAll="0">
      <items count="8">
        <item x="1"/>
        <item x="0"/>
        <item x="5"/>
        <item x="2"/>
        <item x="3"/>
        <item x="6"/>
        <item x="4"/>
        <item t="default" sd="0"/>
      </items>
    </pivotField>
    <pivotField name="Week 5" compact="0" outline="0" showAll="0">
      <items count="9">
        <item x="2"/>
        <item x="6"/>
        <item x="7"/>
        <item x="0"/>
        <item x="1"/>
        <item x="4"/>
        <item x="3"/>
        <item x="5"/>
        <item t="default" sd="0"/>
      </items>
    </pivotField>
    <pivotField name="Points5" compact="0" outline="0" showAll="0">
      <items count="8">
        <item x="2"/>
        <item x="5"/>
        <item x="3"/>
        <item x="4"/>
        <item x="1"/>
        <item x="0"/>
        <item x="6"/>
        <item t="default" sd="0"/>
      </items>
    </pivotField>
    <pivotField name="Week 6" compact="0" outline="0" showAll="0">
      <items count="9">
        <item x="2"/>
        <item x="7"/>
        <item x="5"/>
        <item x="6"/>
        <item x="0"/>
        <item x="3"/>
        <item x="1"/>
        <item x="4"/>
        <item t="default" sd="0"/>
      </items>
    </pivotField>
    <pivotField name="Points6" compact="0" outline="0" showAll="0">
      <items count="8">
        <item x="2"/>
        <item x="3"/>
        <item x="1"/>
        <item x="0"/>
        <item x="5"/>
        <item x="4"/>
        <item x="6"/>
        <item t="default" sd="0"/>
      </items>
    </pivotField>
    <pivotField name="Total" axis="axisValues" dataField="1" compact="0" outline="0" showAll="0"/>
  </pivotFields>
  <rowFields count="1">
    <field x="0"/>
  </rowFields>
  <rowItems count="9">
    <i>
      <x v="1"/>
    </i>
    <i>
      <x v="7"/>
    </i>
    <i>
      <x v="6"/>
    </i>
    <i>
      <x v="3"/>
    </i>
    <i>
      <x/>
    </i>
    <i>
      <x v="4"/>
    </i>
    <i>
      <x v="2"/>
    </i>
    <i>
      <x v="5"/>
    </i>
    <i t="grand">
      <x/>
    </i>
  </rowItems>
  <colItems count="1">
    <i/>
  </colItems>
  <dataFields count="1">
    <dataField name="Sum of Total" fld="13"/>
  </dataFields>
  <pivotTableStyleInfo name="PivotStyleCustom04" showRowHeaders="1" showColHeaders="1" showRowStripes="1"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18</v>
      </c>
      <c r="C11" s="3"/>
      <c r="D11" s="3"/>
    </row>
    <row r="12">
      <c r="B12" s="4"/>
      <c r="C12" t="s" s="4">
        <v>19</v>
      </c>
      <c r="D12" t="s" s="5">
        <v>20</v>
      </c>
    </row>
    <row r="13">
      <c r="B13" s="4"/>
      <c r="C13" t="s" s="4">
        <v>5</v>
      </c>
      <c r="D13" t="s" s="5">
        <v>23</v>
      </c>
    </row>
    <row r="14">
      <c r="B14" t="s" s="3">
        <v>24</v>
      </c>
      <c r="C14" s="3"/>
      <c r="D14" s="3"/>
    </row>
    <row r="15">
      <c r="B15" s="4"/>
      <c r="C15" t="s" s="4">
        <v>49</v>
      </c>
      <c r="D15" t="s" s="5">
        <v>50</v>
      </c>
    </row>
    <row r="16">
      <c r="B16" s="4"/>
      <c r="C16" t="s" s="4">
        <v>5</v>
      </c>
      <c r="D16" t="s" s="5">
        <v>51</v>
      </c>
    </row>
    <row r="17">
      <c r="B17" t="s" s="3">
        <v>47</v>
      </c>
      <c r="C17" s="3"/>
      <c r="D17" s="3"/>
    </row>
    <row r="18">
      <c r="B18" s="4"/>
      <c r="C18" t="s" s="4">
        <v>75</v>
      </c>
      <c r="D18" t="s" s="5">
        <v>76</v>
      </c>
    </row>
    <row r="19">
      <c r="B19" s="4"/>
      <c r="C19" t="s" s="4">
        <v>5</v>
      </c>
      <c r="D19" t="s" s="5">
        <v>77</v>
      </c>
    </row>
    <row r="20">
      <c r="B20" t="s" s="3">
        <v>48</v>
      </c>
      <c r="C20" s="3"/>
      <c r="D20" s="3"/>
    </row>
    <row r="21">
      <c r="B21" s="4"/>
      <c r="C21" t="s" s="4">
        <v>75</v>
      </c>
      <c r="D21" t="s" s="5">
        <v>94</v>
      </c>
    </row>
    <row r="22">
      <c r="B22" s="4"/>
      <c r="C22" t="s" s="4">
        <v>5</v>
      </c>
      <c r="D22" t="s" s="5">
        <v>95</v>
      </c>
    </row>
    <row r="23">
      <c r="B23" t="s" s="3">
        <v>109</v>
      </c>
      <c r="C23" s="3"/>
      <c r="D23" s="3"/>
    </row>
    <row r="24">
      <c r="B24" s="4"/>
      <c r="C24" t="s" s="4">
        <v>5</v>
      </c>
      <c r="D24" t="s" s="5">
        <v>109</v>
      </c>
    </row>
    <row r="25">
      <c r="B25" t="s" s="3">
        <v>112</v>
      </c>
      <c r="C25" s="3"/>
      <c r="D25" s="3"/>
    </row>
    <row r="26">
      <c r="B26" s="4"/>
      <c r="C26" t="s" s="4">
        <v>5</v>
      </c>
      <c r="D26" t="s" s="5">
        <v>112</v>
      </c>
    </row>
    <row r="27">
      <c r="B27" t="s" s="3">
        <v>115</v>
      </c>
      <c r="C27" s="3"/>
      <c r="D27" s="3"/>
    </row>
    <row r="28">
      <c r="B28" s="4"/>
      <c r="C28" t="s" s="4">
        <v>5</v>
      </c>
      <c r="D28" t="s" s="5">
        <v>115</v>
      </c>
    </row>
  </sheetData>
  <mergeCells count="1">
    <mergeCell ref="B3:D3"/>
  </mergeCells>
  <hyperlinks>
    <hyperlink ref="D10" location="'Total Prize Money 2025'!R1C1" tooltip="" display="Total Prize Money 2025"/>
    <hyperlink ref="D12" location="'Leaderboard 2025 - PivotTable1'!R2C1" tooltip="" display="Leaderboard 2025 - PivotTable1"/>
    <hyperlink ref="D13" location="'Leaderboard 2025 - Table 1'!R1C1" tooltip="" display="Leaderboard 2025 - Table 1"/>
    <hyperlink ref="D15" location="'Tournament 1 - PivotTable3'!R2C1" tooltip="" display="Tournament 1 - PivotTable3"/>
    <hyperlink ref="D16" location="'Tournament 1 - Table 1'!R1C1" tooltip="" display="Tournament 1 - Table 1"/>
    <hyperlink ref="D18" location="'Tournament 2 - PivotTable4'!R2C1" tooltip="" display="Tournament 2 - PivotTable4"/>
    <hyperlink ref="D19" location="'Tournament 2 - Table 1'!R1C1" tooltip="" display="Tournament 2 - Table 1"/>
    <hyperlink ref="D21" location="'Tournament 3 - PivotTable4'!R2C1" tooltip="" display="Tournament 3 - PivotTable4"/>
    <hyperlink ref="D22" location="'Tournament 3 - Table 1'!R1C1" tooltip="" display="Tournament 3 - Table 1"/>
    <hyperlink ref="D24" location="'Handicap Summary'!R1C1" tooltip="" display="Handicap Summary"/>
    <hyperlink ref="D26" location="'Wk1and2'!R1C1" tooltip="" display="Wk1and2"/>
    <hyperlink ref="D28" location="'New Adj Cap'!R1C1" tooltip="" display="New Adj Cap"/>
  </hyperlinks>
</worksheet>
</file>

<file path=xl/worksheets/sheet2.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4.5" customHeight="1" outlineLevelRow="0" outlineLevelCol="0"/>
  <cols>
    <col min="1" max="1" width="8.85156" style="6" customWidth="1"/>
    <col min="2" max="2" width="9.17188" style="6" customWidth="1"/>
    <col min="3" max="3" width="10.5" style="6" customWidth="1"/>
    <col min="4" max="4" width="5.5" style="6" customWidth="1"/>
    <col min="5" max="5" width="8.85156" style="6" customWidth="1"/>
    <col min="6" max="16384" width="8.85156" style="6" customWidth="1"/>
  </cols>
  <sheetData>
    <row r="1" ht="13.55" customHeight="1">
      <c r="A1" s="7"/>
      <c r="B1" s="7"/>
      <c r="C1" s="7"/>
      <c r="D1" s="7"/>
      <c r="E1" s="8"/>
    </row>
    <row r="2" ht="13.55" customHeight="1">
      <c r="A2" t="s" s="9">
        <v>6</v>
      </c>
      <c r="B2" t="s" s="9">
        <v>7</v>
      </c>
      <c r="C2" t="s" s="9">
        <v>8</v>
      </c>
      <c r="D2" t="s" s="9">
        <v>9</v>
      </c>
      <c r="E2" s="10"/>
    </row>
    <row r="3" ht="13.55" customHeight="1">
      <c r="A3" t="s" s="9">
        <v>10</v>
      </c>
      <c r="B3" s="11"/>
      <c r="C3" s="11"/>
      <c r="D3" s="12" cm="1">
        <f t="array" ref="D3">SUM(B3:C3)</f>
        <v>0</v>
      </c>
      <c r="E3" s="10"/>
    </row>
    <row r="4" ht="13.55" customHeight="1">
      <c r="A4" t="s" s="9">
        <v>11</v>
      </c>
      <c r="B4" s="13"/>
      <c r="C4" s="13">
        <v>80</v>
      </c>
      <c r="D4" s="12" cm="1">
        <f t="array" ref="D4">SUM(B4:C4)</f>
        <v>80</v>
      </c>
      <c r="E4" s="10"/>
    </row>
    <row r="5" ht="13.55" customHeight="1">
      <c r="A5" t="s" s="9">
        <v>12</v>
      </c>
      <c r="B5" s="13"/>
      <c r="C5" s="13"/>
      <c r="D5" s="12" cm="1">
        <f t="array" ref="D5">SUM(B5:C5)</f>
        <v>0</v>
      </c>
      <c r="E5" s="10"/>
    </row>
    <row r="6" ht="13.55" customHeight="1">
      <c r="A6" t="s" s="9">
        <v>13</v>
      </c>
      <c r="B6" s="13">
        <v>400</v>
      </c>
      <c r="C6" s="13">
        <v>160</v>
      </c>
      <c r="D6" s="12" cm="1">
        <f t="array" ref="D6">SUM(B6:C6)</f>
        <v>560</v>
      </c>
      <c r="E6" s="10"/>
    </row>
    <row r="7" ht="13.55" customHeight="1">
      <c r="A7" t="s" s="9">
        <v>14</v>
      </c>
      <c r="B7" s="13">
        <v>100</v>
      </c>
      <c r="C7" s="13">
        <v>40</v>
      </c>
      <c r="D7" s="12" cm="1">
        <f t="array" ref="D7">SUM(B7:C7)</f>
        <v>140</v>
      </c>
      <c r="E7" s="10"/>
    </row>
    <row r="8" ht="13.55" customHeight="1">
      <c r="A8" t="s" s="9">
        <v>15</v>
      </c>
      <c r="B8" s="13">
        <v>50</v>
      </c>
      <c r="C8" s="13">
        <v>60</v>
      </c>
      <c r="D8" s="12" cm="1">
        <f t="array" ref="D8">SUM(B8:C8)</f>
        <v>110</v>
      </c>
      <c r="E8" s="10"/>
    </row>
    <row r="9" ht="13.55" customHeight="1">
      <c r="A9" t="s" s="9">
        <v>16</v>
      </c>
      <c r="B9" s="13">
        <v>200</v>
      </c>
      <c r="C9" s="13"/>
      <c r="D9" s="12" cm="1">
        <f t="array" ref="D9">SUM(B9:C9)</f>
        <v>200</v>
      </c>
      <c r="E9" s="10"/>
    </row>
    <row r="10" ht="13.55" customHeight="1">
      <c r="A10" t="s" s="9">
        <v>17</v>
      </c>
      <c r="B10" s="13"/>
      <c r="C10" s="13">
        <v>20</v>
      </c>
      <c r="D10" s="12" cm="1">
        <f t="array" ref="D10">SUM(B10:C10)</f>
        <v>20</v>
      </c>
      <c r="E10" s="10"/>
    </row>
    <row r="11" ht="13.55" customHeight="1">
      <c r="A11" s="14"/>
      <c r="B11" s="14"/>
      <c r="C11" s="14"/>
      <c r="D11" s="15" cm="1">
        <f t="array" ref="D11">SUM(D3:D10)</f>
        <v>1110</v>
      </c>
      <c r="E11"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B14"/>
  <sheetViews>
    <sheetView workbookViewId="0" showGridLines="0" defaultGridColor="1"/>
  </sheetViews>
  <sheetFormatPr defaultColWidth="13.3333" defaultRowHeight="17.4" customHeight="1" outlineLevelRow="0" outlineLevelCol="0"/>
  <cols>
    <col min="1" max="2" width="13.3516" style="16" customWidth="1"/>
    <col min="3" max="16384" width="13.3516" style="16" customWidth="1"/>
  </cols>
  <sheetData>
    <row r="1" ht="12.35" customHeight="1">
      <c r="A1" t="s" s="17">
        <v>19</v>
      </c>
      <c r="B1" s="17"/>
    </row>
    <row r="2" ht="15.3" customHeight="1">
      <c r="A2" t="s" s="18">
        <v>6</v>
      </c>
      <c r="B2" t="s" s="19">
        <v>21</v>
      </c>
    </row>
    <row r="3" ht="15.3" customHeight="1">
      <c r="A3" t="s" s="20">
        <v>14</v>
      </c>
      <c r="B3" s="21">
        <v>96</v>
      </c>
    </row>
    <row r="4" ht="15.05" customHeight="1">
      <c r="A4" t="s" s="22">
        <v>16</v>
      </c>
      <c r="B4" s="23">
        <v>94.5</v>
      </c>
    </row>
    <row r="5" ht="15.05" customHeight="1">
      <c r="A5" t="s" s="22">
        <v>15</v>
      </c>
      <c r="B5" s="23">
        <v>94</v>
      </c>
    </row>
    <row r="6" ht="15.05" customHeight="1">
      <c r="A6" t="s" s="22">
        <v>13</v>
      </c>
      <c r="B6" s="23">
        <v>90.5</v>
      </c>
    </row>
    <row r="7" ht="15.05" customHeight="1">
      <c r="A7" t="s" s="22">
        <v>10</v>
      </c>
      <c r="B7" s="23">
        <v>76</v>
      </c>
    </row>
    <row r="8" ht="15.05" customHeight="1">
      <c r="A8" t="s" s="22">
        <v>12</v>
      </c>
      <c r="B8" s="23">
        <v>70</v>
      </c>
    </row>
    <row r="9" ht="15.05" customHeight="1">
      <c r="A9" t="s" s="22">
        <v>17</v>
      </c>
      <c r="B9" s="23">
        <v>62</v>
      </c>
    </row>
    <row r="10" ht="15.3" customHeight="1">
      <c r="A10" t="s" s="24">
        <v>11</v>
      </c>
      <c r="B10" s="25">
        <v>59</v>
      </c>
    </row>
    <row r="11" ht="15.3" customHeight="1">
      <c r="A11" t="s" s="26">
        <v>22</v>
      </c>
      <c r="B11" s="27">
        <v>642</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I43"/>
  <sheetViews>
    <sheetView workbookViewId="0" showGridLines="0" defaultGridColor="1"/>
  </sheetViews>
  <sheetFormatPr defaultColWidth="8.83333" defaultRowHeight="14.5" customHeight="1" outlineLevelRow="0" outlineLevelCol="0"/>
  <cols>
    <col min="1" max="1" width="10.6719" style="28" customWidth="1"/>
    <col min="2" max="2" width="11.3516" style="28" customWidth="1"/>
    <col min="3" max="35" width="8.85156" style="28" customWidth="1"/>
    <col min="36" max="16384" width="8.85156" style="28" customWidth="1"/>
  </cols>
  <sheetData>
    <row r="1" ht="9" customHeight="1" hidden="1">
      <c r="A1" s="29"/>
      <c r="B1" s="29"/>
      <c r="C1" s="29"/>
      <c r="D1" s="29"/>
      <c r="E1" s="29"/>
      <c r="F1" s="29"/>
      <c r="G1" s="29"/>
      <c r="H1" s="29"/>
      <c r="I1" s="29"/>
      <c r="J1" s="29"/>
      <c r="K1" s="29"/>
      <c r="L1" s="29"/>
      <c r="M1" s="29"/>
      <c r="N1" s="29"/>
      <c r="O1" s="8"/>
      <c r="P1" s="29"/>
      <c r="Q1" s="29"/>
      <c r="R1" s="29"/>
      <c r="S1" s="29"/>
      <c r="T1" s="29"/>
      <c r="U1" s="29"/>
      <c r="V1" s="29"/>
      <c r="W1" s="29"/>
      <c r="X1" s="29"/>
      <c r="Y1" s="29"/>
      <c r="Z1" s="29"/>
      <c r="AA1" s="29"/>
      <c r="AB1" s="29"/>
      <c r="AC1" s="29"/>
      <c r="AD1" s="29"/>
      <c r="AE1" s="29"/>
      <c r="AF1" s="29"/>
      <c r="AG1" s="29"/>
      <c r="AH1" s="29"/>
      <c r="AI1" s="29"/>
    </row>
    <row r="2" ht="9" customHeight="1" hidden="1">
      <c r="A2" s="29"/>
      <c r="B2" s="29"/>
      <c r="C2" s="29"/>
      <c r="D2" s="29"/>
      <c r="E2" s="29"/>
      <c r="F2" s="29"/>
      <c r="G2" s="29"/>
      <c r="H2" s="29"/>
      <c r="I2" s="29"/>
      <c r="J2" s="29"/>
      <c r="K2" s="29"/>
      <c r="L2" s="29"/>
      <c r="M2" s="29"/>
      <c r="N2" s="29"/>
      <c r="O2" s="8"/>
      <c r="P2" s="29"/>
      <c r="Q2" s="29"/>
      <c r="R2" s="29"/>
      <c r="S2" s="29"/>
      <c r="T2" s="29"/>
      <c r="U2" s="29"/>
      <c r="V2" s="29"/>
      <c r="W2" s="29"/>
      <c r="X2" s="29"/>
      <c r="Y2" s="29"/>
      <c r="Z2" s="29"/>
      <c r="AA2" s="29"/>
      <c r="AB2" s="29"/>
      <c r="AC2" s="29"/>
      <c r="AD2" s="29"/>
      <c r="AE2" s="29"/>
      <c r="AF2" s="29"/>
      <c r="AG2" s="29"/>
      <c r="AH2" s="29"/>
      <c r="AI2" s="29"/>
    </row>
    <row r="3" ht="9" customHeight="1" hidden="1">
      <c r="A3" s="29"/>
      <c r="B3" s="29"/>
      <c r="C3" s="29"/>
      <c r="D3" s="29"/>
      <c r="E3" s="29"/>
      <c r="F3" s="29"/>
      <c r="G3" s="29"/>
      <c r="H3" s="29"/>
      <c r="I3" s="29"/>
      <c r="J3" s="29"/>
      <c r="K3" s="29"/>
      <c r="L3" s="29"/>
      <c r="M3" s="29"/>
      <c r="N3" s="29"/>
      <c r="O3" s="8"/>
      <c r="P3" s="29"/>
      <c r="Q3" s="29"/>
      <c r="R3" s="29"/>
      <c r="S3" s="29"/>
      <c r="T3" s="29"/>
      <c r="U3" s="29"/>
      <c r="V3" s="29"/>
      <c r="W3" s="29"/>
      <c r="X3" s="29"/>
      <c r="Y3" s="29"/>
      <c r="Z3" s="29"/>
      <c r="AA3" s="29"/>
      <c r="AB3" s="29"/>
      <c r="AC3" s="29"/>
      <c r="AD3" s="29"/>
      <c r="AE3" s="29"/>
      <c r="AF3" s="29"/>
      <c r="AG3" s="29"/>
      <c r="AH3" s="29"/>
      <c r="AI3" s="29"/>
    </row>
    <row r="4" ht="9" customHeight="1" hidden="1">
      <c r="A4" s="29"/>
      <c r="B4" s="29"/>
      <c r="C4" s="29"/>
      <c r="D4" s="29"/>
      <c r="E4" s="29"/>
      <c r="F4" s="29"/>
      <c r="G4" s="29"/>
      <c r="H4" s="29"/>
      <c r="I4" s="29"/>
      <c r="J4" s="29"/>
      <c r="K4" s="29"/>
      <c r="L4" s="29"/>
      <c r="M4" s="29"/>
      <c r="N4" s="29"/>
      <c r="O4" s="8"/>
      <c r="P4" s="29"/>
      <c r="Q4" s="29"/>
      <c r="R4" s="29"/>
      <c r="S4" s="29"/>
      <c r="T4" s="29"/>
      <c r="U4" s="29"/>
      <c r="V4" s="29"/>
      <c r="W4" s="29"/>
      <c r="X4" s="29"/>
      <c r="Y4" s="29"/>
      <c r="Z4" s="29"/>
      <c r="AA4" s="29"/>
      <c r="AB4" s="29"/>
      <c r="AC4" s="29"/>
      <c r="AD4" s="29"/>
      <c r="AE4" s="29"/>
      <c r="AF4" s="29"/>
      <c r="AG4" s="29"/>
      <c r="AH4" s="29"/>
      <c r="AI4" s="29"/>
    </row>
    <row r="5" ht="9" customHeight="1" hidden="1">
      <c r="A5" s="29"/>
      <c r="B5" s="29"/>
      <c r="C5" s="29"/>
      <c r="D5" s="29"/>
      <c r="E5" s="29"/>
      <c r="F5" s="29"/>
      <c r="G5" s="29"/>
      <c r="H5" s="29"/>
      <c r="I5" s="29"/>
      <c r="J5" s="29"/>
      <c r="K5" s="29"/>
      <c r="L5" s="29"/>
      <c r="M5" s="29"/>
      <c r="N5" s="29"/>
      <c r="O5" s="8"/>
      <c r="P5" s="29"/>
      <c r="Q5" s="29"/>
      <c r="R5" s="29"/>
      <c r="S5" s="29"/>
      <c r="T5" s="29"/>
      <c r="U5" s="29"/>
      <c r="V5" s="29"/>
      <c r="W5" s="29"/>
      <c r="X5" s="29"/>
      <c r="Y5" s="29"/>
      <c r="Z5" s="29"/>
      <c r="AA5" s="29"/>
      <c r="AB5" s="29"/>
      <c r="AC5" s="29"/>
      <c r="AD5" s="29"/>
      <c r="AE5" s="29"/>
      <c r="AF5" s="29"/>
      <c r="AG5" s="29"/>
      <c r="AH5" s="29"/>
      <c r="AI5" s="29"/>
    </row>
    <row r="6" ht="9" customHeight="1" hidden="1">
      <c r="A6" s="29"/>
      <c r="B6" s="29"/>
      <c r="C6" s="29"/>
      <c r="D6" s="29"/>
      <c r="E6" s="29"/>
      <c r="F6" s="29"/>
      <c r="G6" s="29"/>
      <c r="H6" s="29"/>
      <c r="I6" s="29"/>
      <c r="J6" s="29"/>
      <c r="K6" s="29"/>
      <c r="L6" s="29"/>
      <c r="M6" s="29"/>
      <c r="N6" s="29"/>
      <c r="O6" s="8"/>
      <c r="P6" s="29"/>
      <c r="Q6" s="29"/>
      <c r="R6" s="29"/>
      <c r="S6" s="29"/>
      <c r="T6" s="29"/>
      <c r="U6" s="29"/>
      <c r="V6" s="29"/>
      <c r="W6" s="29"/>
      <c r="X6" s="29"/>
      <c r="Y6" s="29"/>
      <c r="Z6" s="29"/>
      <c r="AA6" s="29"/>
      <c r="AB6" s="29"/>
      <c r="AC6" s="29"/>
      <c r="AD6" s="29"/>
      <c r="AE6" s="29"/>
      <c r="AF6" s="29"/>
      <c r="AG6" s="29"/>
      <c r="AH6" s="29"/>
      <c r="AI6" s="29"/>
    </row>
    <row r="7" ht="9" customHeight="1" hidden="1">
      <c r="A7" s="29"/>
      <c r="B7" s="29"/>
      <c r="C7" s="29"/>
      <c r="D7" s="29"/>
      <c r="E7" s="29"/>
      <c r="F7" s="29"/>
      <c r="G7" s="29"/>
      <c r="H7" s="29"/>
      <c r="I7" s="29"/>
      <c r="J7" s="29"/>
      <c r="K7" s="29"/>
      <c r="L7" s="29"/>
      <c r="M7" s="29"/>
      <c r="N7" s="29"/>
      <c r="O7" s="8"/>
      <c r="P7" s="29"/>
      <c r="Q7" s="29"/>
      <c r="R7" s="29"/>
      <c r="S7" s="29"/>
      <c r="T7" s="29"/>
      <c r="U7" s="29"/>
      <c r="V7" s="29"/>
      <c r="W7" s="29"/>
      <c r="X7" s="29"/>
      <c r="Y7" s="29"/>
      <c r="Z7" s="29"/>
      <c r="AA7" s="29"/>
      <c r="AB7" s="29"/>
      <c r="AC7" s="29"/>
      <c r="AD7" s="29"/>
      <c r="AE7" s="29"/>
      <c r="AF7" s="29"/>
      <c r="AG7" s="29"/>
      <c r="AH7" s="29"/>
      <c r="AI7" s="29"/>
    </row>
    <row r="8" ht="9" customHeight="1" hidden="1">
      <c r="A8" s="29"/>
      <c r="B8" s="29"/>
      <c r="C8" s="29"/>
      <c r="D8" s="29"/>
      <c r="E8" s="29"/>
      <c r="F8" s="29"/>
      <c r="G8" s="29"/>
      <c r="H8" s="29"/>
      <c r="I8" s="29"/>
      <c r="J8" s="29"/>
      <c r="K8" s="29"/>
      <c r="L8" s="29"/>
      <c r="M8" s="29"/>
      <c r="N8" s="29"/>
      <c r="O8" s="8"/>
      <c r="P8" s="29"/>
      <c r="Q8" s="29"/>
      <c r="R8" s="29"/>
      <c r="S8" s="29"/>
      <c r="T8" s="29"/>
      <c r="U8" s="29"/>
      <c r="V8" s="29"/>
      <c r="W8" s="29"/>
      <c r="X8" s="29"/>
      <c r="Y8" s="29"/>
      <c r="Z8" s="29"/>
      <c r="AA8" s="29"/>
      <c r="AB8" s="29"/>
      <c r="AC8" s="29"/>
      <c r="AD8" s="29"/>
      <c r="AE8" s="29"/>
      <c r="AF8" s="29"/>
      <c r="AG8" s="29"/>
      <c r="AH8" s="29"/>
      <c r="AI8" s="29"/>
    </row>
    <row r="9" ht="9" customHeight="1" hidden="1">
      <c r="A9" s="29"/>
      <c r="B9" s="29"/>
      <c r="C9" s="29"/>
      <c r="D9" s="29"/>
      <c r="E9" s="29"/>
      <c r="F9" s="29"/>
      <c r="G9" s="29"/>
      <c r="H9" s="29"/>
      <c r="I9" s="29"/>
      <c r="J9" s="29"/>
      <c r="K9" s="29"/>
      <c r="L9" s="29"/>
      <c r="M9" s="29"/>
      <c r="N9" s="29"/>
      <c r="O9" s="8"/>
      <c r="P9" s="29"/>
      <c r="Q9" s="29"/>
      <c r="R9" s="29"/>
      <c r="S9" s="29"/>
      <c r="T9" s="29"/>
      <c r="U9" s="29"/>
      <c r="V9" s="29"/>
      <c r="W9" s="29"/>
      <c r="X9" s="29"/>
      <c r="Y9" s="29"/>
      <c r="Z9" s="29"/>
      <c r="AA9" s="29"/>
      <c r="AB9" s="29"/>
      <c r="AC9" s="29"/>
      <c r="AD9" s="29"/>
      <c r="AE9" s="29"/>
      <c r="AF9" s="29"/>
      <c r="AG9" s="29"/>
      <c r="AH9" s="29"/>
      <c r="AI9" s="29"/>
    </row>
    <row r="10" ht="9" customHeight="1" hidden="1">
      <c r="A10" s="29"/>
      <c r="B10" s="29"/>
      <c r="C10" s="29"/>
      <c r="D10" s="29"/>
      <c r="E10" s="29"/>
      <c r="F10" s="29"/>
      <c r="G10" s="29"/>
      <c r="H10" s="29"/>
      <c r="I10" s="29"/>
      <c r="J10" s="29"/>
      <c r="K10" s="29"/>
      <c r="L10" s="29"/>
      <c r="M10" s="29"/>
      <c r="N10" s="29"/>
      <c r="O10" s="8"/>
      <c r="P10" s="29"/>
      <c r="Q10" s="29"/>
      <c r="R10" s="29"/>
      <c r="S10" s="29"/>
      <c r="T10" s="29"/>
      <c r="U10" s="29"/>
      <c r="V10" s="29"/>
      <c r="W10" s="29"/>
      <c r="X10" s="29"/>
      <c r="Y10" s="29"/>
      <c r="Z10" s="29"/>
      <c r="AA10" s="29"/>
      <c r="AB10" s="29"/>
      <c r="AC10" s="29"/>
      <c r="AD10" s="29"/>
      <c r="AE10" s="29"/>
      <c r="AF10" s="29"/>
      <c r="AG10" s="29"/>
      <c r="AH10" s="29"/>
      <c r="AI10" s="29"/>
    </row>
    <row r="11" ht="9" customHeight="1" hidden="1">
      <c r="A11" s="29"/>
      <c r="B11" s="29"/>
      <c r="C11" s="29"/>
      <c r="D11" s="29"/>
      <c r="E11" s="29"/>
      <c r="F11" s="29"/>
      <c r="G11" s="29"/>
      <c r="H11" s="29"/>
      <c r="I11" s="29"/>
      <c r="J11" s="29"/>
      <c r="K11" s="29"/>
      <c r="L11" s="29"/>
      <c r="M11" s="29"/>
      <c r="N11" s="29"/>
      <c r="O11" s="8"/>
      <c r="P11" s="29"/>
      <c r="Q11" s="29"/>
      <c r="R11" s="29"/>
      <c r="S11" s="29"/>
      <c r="T11" s="29"/>
      <c r="U11" s="29"/>
      <c r="V11" s="29"/>
      <c r="W11" s="29"/>
      <c r="X11" s="29"/>
      <c r="Y11" s="29"/>
      <c r="Z11" s="29"/>
      <c r="AA11" s="29"/>
      <c r="AB11" s="29"/>
      <c r="AC11" s="29"/>
      <c r="AD11" s="29"/>
      <c r="AE11" s="29"/>
      <c r="AF11" s="29"/>
      <c r="AG11" s="29"/>
      <c r="AH11" s="29"/>
      <c r="AI11" s="29"/>
    </row>
    <row r="12" ht="13.55" customHeight="1">
      <c r="A12" t="s" s="9">
        <v>24</v>
      </c>
      <c r="B12" s="30"/>
      <c r="C12" s="30"/>
      <c r="D12" s="30"/>
      <c r="E12" s="30"/>
      <c r="F12" s="30"/>
      <c r="G12" s="30"/>
      <c r="H12" s="30"/>
      <c r="I12" s="30"/>
      <c r="J12" s="30"/>
      <c r="K12" s="30"/>
      <c r="L12" s="30"/>
      <c r="M12" s="30"/>
      <c r="N12" s="30"/>
      <c r="O12" s="31"/>
      <c r="P12" t="s" s="9">
        <v>8</v>
      </c>
      <c r="Q12" s="30"/>
      <c r="R12" s="30"/>
      <c r="S12" s="30"/>
      <c r="T12" s="30"/>
      <c r="U12" s="30"/>
      <c r="V12" s="30"/>
      <c r="W12" s="30"/>
      <c r="X12" s="30"/>
      <c r="Y12" s="30"/>
      <c r="Z12" s="30"/>
      <c r="AA12" s="30"/>
      <c r="AB12" s="30"/>
      <c r="AC12" s="30"/>
      <c r="AD12" s="30"/>
      <c r="AE12" s="30"/>
      <c r="AF12" s="30"/>
      <c r="AG12" s="30"/>
      <c r="AH12" s="30"/>
      <c r="AI12" s="30"/>
    </row>
    <row r="13" ht="13.55" customHeight="1">
      <c r="A13" t="s" s="9">
        <v>6</v>
      </c>
      <c r="B13" t="s" s="9">
        <v>25</v>
      </c>
      <c r="C13" t="s" s="9">
        <v>26</v>
      </c>
      <c r="D13" t="s" s="9">
        <v>27</v>
      </c>
      <c r="E13" t="s" s="9">
        <v>26</v>
      </c>
      <c r="F13" t="s" s="9">
        <v>28</v>
      </c>
      <c r="G13" t="s" s="9">
        <v>26</v>
      </c>
      <c r="H13" t="s" s="9">
        <v>29</v>
      </c>
      <c r="I13" t="s" s="9">
        <v>26</v>
      </c>
      <c r="J13" t="s" s="9">
        <v>30</v>
      </c>
      <c r="K13" t="s" s="9">
        <v>26</v>
      </c>
      <c r="L13" t="s" s="9">
        <v>31</v>
      </c>
      <c r="M13" t="s" s="9">
        <v>26</v>
      </c>
      <c r="N13" t="s" s="9">
        <v>9</v>
      </c>
      <c r="O13" s="31"/>
      <c r="P13" t="s" s="9">
        <v>6</v>
      </c>
      <c r="Q13" t="s" s="9">
        <v>9</v>
      </c>
      <c r="R13" t="s" s="9">
        <v>25</v>
      </c>
      <c r="S13" t="s" s="9">
        <v>27</v>
      </c>
      <c r="T13" t="s" s="9">
        <v>28</v>
      </c>
      <c r="U13" t="s" s="9">
        <v>29</v>
      </c>
      <c r="V13" t="s" s="9">
        <v>30</v>
      </c>
      <c r="W13" t="s" s="9">
        <v>31</v>
      </c>
      <c r="X13" t="s" s="9">
        <v>32</v>
      </c>
      <c r="Y13" t="s" s="9">
        <v>33</v>
      </c>
      <c r="Z13" t="s" s="9">
        <v>34</v>
      </c>
      <c r="AA13" t="s" s="9">
        <v>35</v>
      </c>
      <c r="AB13" t="s" s="9">
        <v>36</v>
      </c>
      <c r="AC13" t="s" s="9">
        <v>37</v>
      </c>
      <c r="AD13" t="s" s="9">
        <v>38</v>
      </c>
      <c r="AE13" t="s" s="9">
        <v>39</v>
      </c>
      <c r="AF13" t="s" s="9">
        <v>40</v>
      </c>
      <c r="AG13" t="s" s="9">
        <v>41</v>
      </c>
      <c r="AH13" t="s" s="9">
        <v>42</v>
      </c>
      <c r="AI13" t="s" s="9">
        <v>43</v>
      </c>
    </row>
    <row r="14" ht="13.55" customHeight="1">
      <c r="A14" t="s" s="9">
        <v>10</v>
      </c>
      <c r="B14" s="32">
        <v>38.5</v>
      </c>
      <c r="C14" s="32">
        <v>3</v>
      </c>
      <c r="D14" s="33">
        <v>-25.5</v>
      </c>
      <c r="E14" s="33">
        <v>1</v>
      </c>
      <c r="F14" s="32">
        <v>-25.5</v>
      </c>
      <c r="G14" s="32">
        <v>1</v>
      </c>
      <c r="H14" s="32">
        <v>34.5</v>
      </c>
      <c r="I14" s="32">
        <v>6</v>
      </c>
      <c r="J14" s="32">
        <v>27.5</v>
      </c>
      <c r="K14" s="32">
        <v>8</v>
      </c>
      <c r="L14" s="32">
        <v>30.5</v>
      </c>
      <c r="M14" s="32">
        <v>7</v>
      </c>
      <c r="N14" s="34">
        <v>26</v>
      </c>
      <c r="O14" s="31"/>
      <c r="P14" t="s" s="9">
        <v>10</v>
      </c>
      <c r="Q14" s="35">
        <v>0</v>
      </c>
      <c r="R14" t="s" s="36">
        <v>44</v>
      </c>
      <c r="S14" t="s" s="36">
        <v>44</v>
      </c>
      <c r="T14" t="s" s="36">
        <v>44</v>
      </c>
      <c r="U14" t="s" s="36">
        <v>44</v>
      </c>
      <c r="V14" t="s" s="36">
        <v>44</v>
      </c>
      <c r="W14" t="s" s="36">
        <v>44</v>
      </c>
      <c r="X14" t="s" s="36">
        <v>44</v>
      </c>
      <c r="Y14" t="s" s="36">
        <v>44</v>
      </c>
      <c r="Z14" t="s" s="36">
        <v>44</v>
      </c>
      <c r="AA14" t="s" s="36">
        <v>44</v>
      </c>
      <c r="AB14" t="s" s="36">
        <v>44</v>
      </c>
      <c r="AC14" t="s" s="36">
        <v>44</v>
      </c>
      <c r="AD14" s="37"/>
      <c r="AE14" s="37"/>
      <c r="AF14" t="s" s="36">
        <v>44</v>
      </c>
      <c r="AG14" s="33"/>
      <c r="AH14" t="s" s="36">
        <v>44</v>
      </c>
      <c r="AI14" t="s" s="36">
        <v>44</v>
      </c>
    </row>
    <row r="15" ht="13.55" customHeight="1">
      <c r="A15" t="s" s="9">
        <v>17</v>
      </c>
      <c r="B15" s="32">
        <v>32.5</v>
      </c>
      <c r="C15" s="32">
        <v>6</v>
      </c>
      <c r="D15" s="33">
        <v>41.5</v>
      </c>
      <c r="E15" s="33">
        <v>2</v>
      </c>
      <c r="F15" s="32">
        <v>38.5</v>
      </c>
      <c r="G15" s="32">
        <v>2</v>
      </c>
      <c r="H15" s="32">
        <v>-10.5</v>
      </c>
      <c r="I15" s="32">
        <v>1</v>
      </c>
      <c r="J15" s="32">
        <v>47.5</v>
      </c>
      <c r="K15" s="32">
        <v>3</v>
      </c>
      <c r="L15" s="32">
        <v>-10.5</v>
      </c>
      <c r="M15" s="32">
        <v>1</v>
      </c>
      <c r="N15" s="34">
        <v>15</v>
      </c>
      <c r="O15" s="31"/>
      <c r="P15" t="s" s="9">
        <v>17</v>
      </c>
      <c r="Q15" s="35">
        <v>1</v>
      </c>
      <c r="R15" s="38">
        <v>6.5</v>
      </c>
      <c r="S15" t="s" s="36">
        <v>44</v>
      </c>
      <c r="T15" t="s" s="36">
        <v>44</v>
      </c>
      <c r="U15" t="s" s="36">
        <v>44</v>
      </c>
      <c r="V15" t="s" s="36">
        <v>44</v>
      </c>
      <c r="W15" t="s" s="36">
        <v>44</v>
      </c>
      <c r="X15" t="s" s="36">
        <v>44</v>
      </c>
      <c r="Y15" t="s" s="36">
        <v>44</v>
      </c>
      <c r="Z15" t="s" s="36">
        <v>44</v>
      </c>
      <c r="AA15" t="s" s="36">
        <v>44</v>
      </c>
      <c r="AB15" t="s" s="36">
        <v>44</v>
      </c>
      <c r="AC15" t="s" s="36">
        <v>44</v>
      </c>
      <c r="AD15" s="37"/>
      <c r="AE15" s="37"/>
      <c r="AF15" t="s" s="36">
        <v>44</v>
      </c>
      <c r="AG15" s="33"/>
      <c r="AH15" s="32">
        <v>11.5</v>
      </c>
      <c r="AI15" s="32">
        <v>15.6</v>
      </c>
    </row>
    <row r="16" ht="13.55" customHeight="1">
      <c r="A16" t="s" s="9">
        <v>11</v>
      </c>
      <c r="B16" s="32">
        <v>36</v>
      </c>
      <c r="C16" s="32">
        <v>5</v>
      </c>
      <c r="D16" s="33">
        <v>37</v>
      </c>
      <c r="E16" s="33">
        <v>5</v>
      </c>
      <c r="F16" s="32">
        <v>32</v>
      </c>
      <c r="G16" s="32">
        <v>4</v>
      </c>
      <c r="H16" s="32">
        <v>35</v>
      </c>
      <c r="I16" s="32">
        <v>5</v>
      </c>
      <c r="J16" s="32">
        <v>34</v>
      </c>
      <c r="K16" s="32">
        <v>5.5</v>
      </c>
      <c r="L16" s="32">
        <v>34</v>
      </c>
      <c r="M16" s="32">
        <v>2.5</v>
      </c>
      <c r="N16" s="34">
        <v>27</v>
      </c>
      <c r="O16" s="31"/>
      <c r="P16" t="s" s="9">
        <v>11</v>
      </c>
      <c r="Q16" s="35">
        <v>4</v>
      </c>
      <c r="R16" t="s" s="36">
        <v>44</v>
      </c>
      <c r="S16" t="s" s="36">
        <v>44</v>
      </c>
      <c r="T16" s="33">
        <v>10.7</v>
      </c>
      <c r="U16" t="s" s="36">
        <v>44</v>
      </c>
      <c r="V16" t="s" s="36">
        <v>44</v>
      </c>
      <c r="W16" s="38">
        <v>9.5</v>
      </c>
      <c r="X16" s="38">
        <v>9.9</v>
      </c>
      <c r="Y16" t="s" s="36">
        <v>44</v>
      </c>
      <c r="Z16" t="s" s="36">
        <v>44</v>
      </c>
      <c r="AA16" s="33">
        <v>20</v>
      </c>
      <c r="AB16" s="32">
        <v>8.199999999999999</v>
      </c>
      <c r="AC16" t="s" s="36">
        <v>44</v>
      </c>
      <c r="AD16" s="39"/>
      <c r="AE16" s="37"/>
      <c r="AF16" t="s" s="36">
        <v>44</v>
      </c>
      <c r="AG16" s="40"/>
      <c r="AH16" s="37"/>
      <c r="AI16" t="s" s="36">
        <v>44</v>
      </c>
    </row>
    <row r="17" ht="13.55" customHeight="1">
      <c r="A17" t="s" s="9">
        <v>12</v>
      </c>
      <c r="B17" s="32">
        <v>40</v>
      </c>
      <c r="C17" s="32">
        <v>2</v>
      </c>
      <c r="D17" s="33">
        <v>39</v>
      </c>
      <c r="E17" s="33">
        <v>4</v>
      </c>
      <c r="F17" s="32">
        <v>38</v>
      </c>
      <c r="G17" s="32">
        <v>3</v>
      </c>
      <c r="H17" s="32">
        <v>38</v>
      </c>
      <c r="I17" s="32">
        <v>2</v>
      </c>
      <c r="J17" s="32">
        <v>34</v>
      </c>
      <c r="K17" s="32">
        <v>5.5</v>
      </c>
      <c r="L17" s="32">
        <v>34</v>
      </c>
      <c r="M17" s="32">
        <v>2.5</v>
      </c>
      <c r="N17" s="34">
        <v>19</v>
      </c>
      <c r="O17" s="31"/>
      <c r="P17" t="s" s="9">
        <v>12</v>
      </c>
      <c r="Q17" s="35">
        <v>0</v>
      </c>
      <c r="R17" t="s" s="36">
        <v>44</v>
      </c>
      <c r="S17" t="s" s="36">
        <v>44</v>
      </c>
      <c r="T17" t="s" s="36">
        <v>44</v>
      </c>
      <c r="U17" t="s" s="36">
        <v>44</v>
      </c>
      <c r="V17" t="s" s="36">
        <v>44</v>
      </c>
      <c r="W17" t="s" s="36">
        <v>44</v>
      </c>
      <c r="X17" t="s" s="36">
        <v>44</v>
      </c>
      <c r="Y17" t="s" s="36">
        <v>44</v>
      </c>
      <c r="Z17" t="s" s="36">
        <v>44</v>
      </c>
      <c r="AA17" t="s" s="36">
        <v>44</v>
      </c>
      <c r="AB17" t="s" s="36">
        <v>44</v>
      </c>
      <c r="AC17" t="s" s="36">
        <v>44</v>
      </c>
      <c r="AD17" s="37"/>
      <c r="AE17" s="37"/>
      <c r="AF17" t="s" s="36">
        <v>44</v>
      </c>
      <c r="AG17" s="33"/>
      <c r="AH17" s="32">
        <v>17.7</v>
      </c>
      <c r="AI17" t="s" s="36">
        <v>44</v>
      </c>
    </row>
    <row r="18" ht="13.55" customHeight="1">
      <c r="A18" t="s" s="9">
        <v>13</v>
      </c>
      <c r="B18" s="32">
        <v>31.5</v>
      </c>
      <c r="C18" s="32">
        <v>7</v>
      </c>
      <c r="D18" s="33">
        <v>29.5</v>
      </c>
      <c r="E18" s="33">
        <v>8</v>
      </c>
      <c r="F18" s="32">
        <v>25.5</v>
      </c>
      <c r="G18" s="32">
        <v>8</v>
      </c>
      <c r="H18" s="32">
        <v>28.5</v>
      </c>
      <c r="I18" s="32">
        <v>8</v>
      </c>
      <c r="J18" s="32">
        <v>-12.5</v>
      </c>
      <c r="K18" s="32">
        <v>1</v>
      </c>
      <c r="L18" s="32">
        <v>28.5</v>
      </c>
      <c r="M18" s="32">
        <v>8</v>
      </c>
      <c r="N18" s="34">
        <v>40</v>
      </c>
      <c r="O18" s="31"/>
      <c r="P18" t="s" s="9">
        <v>13</v>
      </c>
      <c r="Q18" s="35">
        <v>8</v>
      </c>
      <c r="R18" t="s" s="36">
        <v>44</v>
      </c>
      <c r="S18" t="s" s="36">
        <v>44</v>
      </c>
      <c r="T18" s="40">
        <v>7.8</v>
      </c>
      <c r="U18" s="40">
        <v>20.6</v>
      </c>
      <c r="V18" t="s" s="36">
        <v>44</v>
      </c>
      <c r="W18" t="s" s="36">
        <v>44</v>
      </c>
      <c r="X18" t="s" s="36">
        <v>44</v>
      </c>
      <c r="Y18" s="38">
        <v>6.3</v>
      </c>
      <c r="Z18" s="40">
        <v>8</v>
      </c>
      <c r="AA18" s="40">
        <v>4.2</v>
      </c>
      <c r="AB18" t="s" s="36">
        <v>44</v>
      </c>
      <c r="AC18" t="s" s="36">
        <v>44</v>
      </c>
      <c r="AD18" s="37"/>
      <c r="AE18" s="37"/>
      <c r="AF18" s="40">
        <v>11.9</v>
      </c>
      <c r="AG18" s="33"/>
      <c r="AH18" s="32">
        <v>6.1</v>
      </c>
      <c r="AI18" s="38">
        <v>12.9</v>
      </c>
    </row>
    <row r="19" ht="13.55" customHeight="1">
      <c r="A19" t="s" s="9">
        <v>14</v>
      </c>
      <c r="B19" s="32">
        <v>30</v>
      </c>
      <c r="C19" s="32">
        <v>8</v>
      </c>
      <c r="D19" s="33">
        <v>33</v>
      </c>
      <c r="E19" s="33">
        <v>7</v>
      </c>
      <c r="F19" s="32">
        <v>30</v>
      </c>
      <c r="G19" s="32">
        <v>5</v>
      </c>
      <c r="H19" s="32">
        <v>34</v>
      </c>
      <c r="I19" s="32">
        <v>7</v>
      </c>
      <c r="J19" s="32">
        <v>-12</v>
      </c>
      <c r="K19" s="32">
        <v>1</v>
      </c>
      <c r="L19" s="32">
        <v>32</v>
      </c>
      <c r="M19" s="32">
        <v>5</v>
      </c>
      <c r="N19" s="34">
        <v>33</v>
      </c>
      <c r="O19" s="31"/>
      <c r="P19" t="s" s="9">
        <v>14</v>
      </c>
      <c r="Q19" s="35">
        <v>2</v>
      </c>
      <c r="R19" s="32">
        <v>17.9</v>
      </c>
      <c r="S19" t="s" s="36">
        <v>44</v>
      </c>
      <c r="T19" s="33">
        <v>11.7</v>
      </c>
      <c r="U19" t="s" s="36">
        <v>44</v>
      </c>
      <c r="V19" t="s" s="36">
        <v>44</v>
      </c>
      <c r="W19" t="s" s="36">
        <v>44</v>
      </c>
      <c r="X19" t="s" s="36">
        <v>44</v>
      </c>
      <c r="Y19" s="33">
        <v>8.300000000000001</v>
      </c>
      <c r="Z19" s="33">
        <v>12</v>
      </c>
      <c r="AA19" t="s" s="36">
        <v>44</v>
      </c>
      <c r="AB19" s="32">
        <v>8.800000000000001</v>
      </c>
      <c r="AC19" s="38">
        <v>10.9</v>
      </c>
      <c r="AD19" s="37"/>
      <c r="AE19" s="40"/>
      <c r="AF19" t="s" s="36">
        <v>44</v>
      </c>
      <c r="AG19" s="33"/>
      <c r="AH19" t="s" s="36">
        <v>44</v>
      </c>
      <c r="AI19" t="s" s="36">
        <v>44</v>
      </c>
    </row>
    <row r="20" ht="13.55" customHeight="1">
      <c r="A20" t="s" s="9">
        <v>15</v>
      </c>
      <c r="B20" s="32">
        <v>36.5</v>
      </c>
      <c r="C20" s="32">
        <v>4</v>
      </c>
      <c r="D20" s="33">
        <v>33.5</v>
      </c>
      <c r="E20" s="33">
        <v>6</v>
      </c>
      <c r="F20" s="32">
        <v>26.5</v>
      </c>
      <c r="G20" s="32">
        <v>7</v>
      </c>
      <c r="H20" s="32">
        <v>37.5</v>
      </c>
      <c r="I20" s="32">
        <v>4</v>
      </c>
      <c r="J20" s="32">
        <v>30.5</v>
      </c>
      <c r="K20" s="32">
        <v>7</v>
      </c>
      <c r="L20" s="32">
        <v>32.5</v>
      </c>
      <c r="M20" s="32">
        <v>4</v>
      </c>
      <c r="N20" s="34">
        <v>32</v>
      </c>
      <c r="O20" s="31"/>
      <c r="P20" t="s" s="9">
        <v>15</v>
      </c>
      <c r="Q20" s="35">
        <v>3</v>
      </c>
      <c r="R20" t="s" s="36">
        <v>44</v>
      </c>
      <c r="S20" t="s" s="36">
        <v>44</v>
      </c>
      <c r="T20" t="s" s="36">
        <v>44</v>
      </c>
      <c r="U20" t="s" s="36">
        <v>44</v>
      </c>
      <c r="V20" t="s" s="41">
        <v>45</v>
      </c>
      <c r="W20" t="s" s="36">
        <v>44</v>
      </c>
      <c r="X20" s="32">
        <v>21.3</v>
      </c>
      <c r="Y20" s="32">
        <v>8.699999999999999</v>
      </c>
      <c r="Z20" t="s" s="36">
        <v>44</v>
      </c>
      <c r="AA20" t="s" s="36">
        <v>44</v>
      </c>
      <c r="AB20" s="38">
        <v>4.6</v>
      </c>
      <c r="AC20" t="s" s="36">
        <v>44</v>
      </c>
      <c r="AD20" s="37"/>
      <c r="AE20" s="37"/>
      <c r="AF20" s="33">
        <v>13.2</v>
      </c>
      <c r="AG20" s="33"/>
      <c r="AH20" t="s" s="41">
        <v>46</v>
      </c>
      <c r="AI20" t="s" s="36">
        <v>44</v>
      </c>
    </row>
    <row r="21" ht="13.55" customHeight="1">
      <c r="A21" t="s" s="9">
        <v>16</v>
      </c>
      <c r="B21" s="32">
        <v>-23</v>
      </c>
      <c r="C21" s="32">
        <v>1</v>
      </c>
      <c r="D21" s="33">
        <v>39</v>
      </c>
      <c r="E21" s="33">
        <v>3</v>
      </c>
      <c r="F21" s="32">
        <v>29</v>
      </c>
      <c r="G21" s="32">
        <v>6</v>
      </c>
      <c r="H21" s="32">
        <v>38</v>
      </c>
      <c r="I21" s="32">
        <v>3</v>
      </c>
      <c r="J21" s="32">
        <v>46</v>
      </c>
      <c r="K21" s="32">
        <v>4</v>
      </c>
      <c r="L21" s="32">
        <v>31</v>
      </c>
      <c r="M21" s="32">
        <v>6</v>
      </c>
      <c r="N21" s="34">
        <v>23</v>
      </c>
      <c r="O21" s="31"/>
      <c r="P21" t="s" s="9">
        <v>16</v>
      </c>
      <c r="Q21" s="35">
        <v>0</v>
      </c>
      <c r="R21" t="s" s="36">
        <v>44</v>
      </c>
      <c r="S21" t="s" s="36">
        <v>44</v>
      </c>
      <c r="T21" t="s" s="36">
        <v>44</v>
      </c>
      <c r="U21" t="s" s="36">
        <v>44</v>
      </c>
      <c r="V21" t="s" s="36">
        <v>44</v>
      </c>
      <c r="W21" t="s" s="36">
        <v>44</v>
      </c>
      <c r="X21" t="s" s="36">
        <v>44</v>
      </c>
      <c r="Y21" t="s" s="36">
        <v>44</v>
      </c>
      <c r="Z21" t="s" s="36">
        <v>44</v>
      </c>
      <c r="AA21" t="s" s="36">
        <v>44</v>
      </c>
      <c r="AB21" t="s" s="36">
        <v>44</v>
      </c>
      <c r="AC21" t="s" s="36">
        <v>44</v>
      </c>
      <c r="AD21" s="37"/>
      <c r="AE21" s="37"/>
      <c r="AF21" t="s" s="36">
        <v>44</v>
      </c>
      <c r="AG21" s="33"/>
      <c r="AH21" t="s" s="36">
        <v>44</v>
      </c>
      <c r="AI21" t="s" s="36">
        <v>44</v>
      </c>
    </row>
    <row r="22" ht="13.55" customHeight="1">
      <c r="A22" s="29"/>
      <c r="B22" s="29"/>
      <c r="C22" s="29"/>
      <c r="D22" s="29"/>
      <c r="E22" s="29"/>
      <c r="F22" s="29"/>
      <c r="G22" s="29"/>
      <c r="H22" s="29"/>
      <c r="I22" s="29"/>
      <c r="J22" s="29"/>
      <c r="K22" s="29"/>
      <c r="L22" s="29"/>
      <c r="M22" s="29"/>
      <c r="N22" s="29"/>
      <c r="O22" s="8"/>
      <c r="P22" s="14"/>
      <c r="Q22" s="14"/>
      <c r="R22" s="14"/>
      <c r="S22" s="14"/>
      <c r="T22" s="14"/>
      <c r="U22" s="14"/>
      <c r="V22" s="14"/>
      <c r="W22" s="14"/>
      <c r="X22" s="14"/>
      <c r="Y22" s="14"/>
      <c r="Z22" s="14"/>
      <c r="AA22" s="14"/>
      <c r="AB22" s="14"/>
      <c r="AC22" s="14"/>
      <c r="AD22" s="14"/>
      <c r="AE22" s="14"/>
      <c r="AF22" s="14"/>
      <c r="AG22" s="14"/>
      <c r="AH22" s="14"/>
      <c r="AI22" s="14"/>
    </row>
    <row r="23" ht="13.55" customHeight="1">
      <c r="A23" t="s" s="9">
        <v>47</v>
      </c>
      <c r="B23" s="30"/>
      <c r="C23" s="30"/>
      <c r="D23" s="30"/>
      <c r="E23" s="30"/>
      <c r="F23" s="30"/>
      <c r="G23" s="30"/>
      <c r="H23" s="30"/>
      <c r="I23" s="30"/>
      <c r="J23" s="30"/>
      <c r="K23" s="30"/>
      <c r="L23" s="30"/>
      <c r="M23" s="30"/>
      <c r="N23" s="30"/>
      <c r="O23" s="10"/>
      <c r="P23" s="8"/>
      <c r="Q23" s="8"/>
      <c r="R23" s="8"/>
      <c r="S23" s="8"/>
      <c r="T23" s="8"/>
      <c r="U23" s="8"/>
      <c r="V23" s="8"/>
      <c r="W23" s="8"/>
      <c r="X23" s="8"/>
      <c r="Y23" s="8"/>
      <c r="Z23" s="8"/>
      <c r="AA23" s="8"/>
      <c r="AB23" s="8"/>
      <c r="AC23" s="8"/>
      <c r="AD23" s="8"/>
      <c r="AE23" s="8"/>
      <c r="AF23" s="8"/>
      <c r="AG23" s="8"/>
      <c r="AH23" s="8"/>
      <c r="AI23" s="8"/>
    </row>
    <row r="24" ht="13.55" customHeight="1">
      <c r="A24" t="s" s="9">
        <v>6</v>
      </c>
      <c r="B24" t="s" s="9">
        <v>25</v>
      </c>
      <c r="C24" t="s" s="9">
        <v>26</v>
      </c>
      <c r="D24" t="s" s="9">
        <v>27</v>
      </c>
      <c r="E24" t="s" s="9">
        <v>26</v>
      </c>
      <c r="F24" t="s" s="9">
        <v>28</v>
      </c>
      <c r="G24" t="s" s="9">
        <v>26</v>
      </c>
      <c r="H24" t="s" s="9">
        <v>29</v>
      </c>
      <c r="I24" t="s" s="9">
        <v>26</v>
      </c>
      <c r="J24" t="s" s="9">
        <v>30</v>
      </c>
      <c r="K24" t="s" s="9">
        <v>26</v>
      </c>
      <c r="L24" t="s" s="9">
        <v>31</v>
      </c>
      <c r="M24" t="s" s="9">
        <v>26</v>
      </c>
      <c r="N24" t="s" s="9">
        <v>9</v>
      </c>
      <c r="O24" s="10"/>
      <c r="P24" s="8"/>
      <c r="Q24" s="8"/>
      <c r="R24" s="8"/>
      <c r="S24" s="8"/>
      <c r="T24" s="8"/>
      <c r="U24" s="8"/>
      <c r="V24" s="8"/>
      <c r="W24" s="8"/>
      <c r="X24" s="8"/>
      <c r="Y24" s="8"/>
      <c r="Z24" s="8"/>
      <c r="AA24" s="8"/>
      <c r="AB24" s="8"/>
      <c r="AC24" s="8"/>
      <c r="AD24" s="8"/>
      <c r="AE24" s="8"/>
      <c r="AF24" s="8"/>
      <c r="AG24" s="8"/>
      <c r="AH24" s="8"/>
      <c r="AI24" s="8"/>
    </row>
    <row r="25" ht="13.55" customHeight="1">
      <c r="A25" t="s" s="9">
        <v>10</v>
      </c>
      <c r="B25" s="32">
        <v>40</v>
      </c>
      <c r="C25" s="32">
        <v>2.5</v>
      </c>
      <c r="D25" s="33">
        <v>39</v>
      </c>
      <c r="E25" s="33">
        <v>3</v>
      </c>
      <c r="F25" s="32">
        <v>31</v>
      </c>
      <c r="G25" s="32">
        <v>5.5</v>
      </c>
      <c r="H25" s="32">
        <v>36</v>
      </c>
      <c r="I25" s="32">
        <v>3.5</v>
      </c>
      <c r="J25" s="32">
        <v>34</v>
      </c>
      <c r="K25" s="32">
        <v>5</v>
      </c>
      <c r="L25" s="32">
        <v>37</v>
      </c>
      <c r="M25" s="32">
        <v>6</v>
      </c>
      <c r="N25" s="34" cm="1">
        <f t="array" ref="N25">C25+E25+G25+I25+K25+M25</f>
        <v>25.5</v>
      </c>
      <c r="O25" s="10"/>
      <c r="P25" s="8"/>
      <c r="Q25" s="8"/>
      <c r="R25" s="8"/>
      <c r="S25" s="8"/>
      <c r="T25" s="8"/>
      <c r="U25" s="8"/>
      <c r="V25" s="8"/>
      <c r="W25" s="8"/>
      <c r="X25" s="8"/>
      <c r="Y25" s="8"/>
      <c r="Z25" s="8"/>
      <c r="AA25" s="8"/>
      <c r="AB25" s="8"/>
      <c r="AC25" s="8"/>
      <c r="AD25" s="8"/>
      <c r="AE25" s="8"/>
      <c r="AF25" s="8"/>
      <c r="AG25" s="8"/>
      <c r="AH25" s="8"/>
      <c r="AI25" s="8"/>
    </row>
    <row r="26" ht="13.55" customHeight="1">
      <c r="A26" t="s" s="9">
        <v>17</v>
      </c>
      <c r="B26" s="32">
        <v>35</v>
      </c>
      <c r="C26" s="32">
        <v>6</v>
      </c>
      <c r="D26" s="33">
        <v>27</v>
      </c>
      <c r="E26" s="33">
        <v>8</v>
      </c>
      <c r="F26" s="32">
        <v>37</v>
      </c>
      <c r="G26" s="32">
        <v>3</v>
      </c>
      <c r="H26" s="32">
        <v>33</v>
      </c>
      <c r="I26" s="32">
        <v>6.5</v>
      </c>
      <c r="J26" s="32">
        <v>-14</v>
      </c>
      <c r="K26" s="32">
        <v>1</v>
      </c>
      <c r="L26" s="32">
        <v>-14</v>
      </c>
      <c r="M26" s="32">
        <v>1</v>
      </c>
      <c r="N26" s="34" cm="1">
        <f t="array" ref="N26">C26+E26+G26+I26+K26+M26</f>
        <v>25.5</v>
      </c>
      <c r="O26" s="10"/>
      <c r="P26" s="8"/>
      <c r="Q26" s="8"/>
      <c r="R26" s="8"/>
      <c r="S26" s="8"/>
      <c r="T26" s="8"/>
      <c r="U26" s="8"/>
      <c r="V26" s="8"/>
      <c r="W26" s="8"/>
      <c r="X26" s="8"/>
      <c r="Y26" s="8"/>
      <c r="Z26" s="8"/>
      <c r="AA26" s="8"/>
      <c r="AB26" s="8"/>
      <c r="AC26" s="8"/>
      <c r="AD26" s="8"/>
      <c r="AE26" s="8"/>
      <c r="AF26" s="8"/>
      <c r="AG26" s="8"/>
      <c r="AH26" s="8"/>
      <c r="AI26" s="8"/>
    </row>
    <row r="27" ht="13.55" customHeight="1">
      <c r="A27" t="s" s="9">
        <v>11</v>
      </c>
      <c r="B27" s="32">
        <v>40</v>
      </c>
      <c r="C27" s="32">
        <v>2.5</v>
      </c>
      <c r="D27" s="33">
        <v>-6</v>
      </c>
      <c r="E27" s="33">
        <v>1</v>
      </c>
      <c r="F27" s="32">
        <v>-6</v>
      </c>
      <c r="G27" s="32">
        <v>1</v>
      </c>
      <c r="H27" s="32">
        <v>41</v>
      </c>
      <c r="I27" s="32">
        <v>1</v>
      </c>
      <c r="J27" s="32">
        <v>39</v>
      </c>
      <c r="K27" s="32">
        <v>3</v>
      </c>
      <c r="L27" s="32">
        <v>-6</v>
      </c>
      <c r="M27" s="32">
        <v>1</v>
      </c>
      <c r="N27" s="34" cm="1">
        <f t="array" ref="N27">C27+E27+G27+I27+K27+M27</f>
        <v>9.5</v>
      </c>
      <c r="O27" s="10"/>
      <c r="P27" s="8"/>
      <c r="Q27" s="8"/>
      <c r="R27" s="8"/>
      <c r="S27" s="8"/>
      <c r="T27" s="8"/>
      <c r="U27" s="8"/>
      <c r="V27" s="8"/>
      <c r="W27" s="8"/>
      <c r="X27" s="8"/>
      <c r="Y27" s="8"/>
      <c r="Z27" s="8"/>
      <c r="AA27" s="8"/>
      <c r="AB27" s="8"/>
      <c r="AC27" s="8"/>
      <c r="AD27" s="8"/>
      <c r="AE27" s="8"/>
      <c r="AF27" s="8"/>
      <c r="AG27" s="8"/>
      <c r="AH27" s="8"/>
      <c r="AI27" s="8"/>
    </row>
    <row r="28" ht="13.55" customHeight="1">
      <c r="A28" t="s" s="9">
        <v>12</v>
      </c>
      <c r="B28" s="32">
        <v>27</v>
      </c>
      <c r="C28" s="32">
        <v>8</v>
      </c>
      <c r="D28" s="33">
        <v>29</v>
      </c>
      <c r="E28" s="33">
        <v>7</v>
      </c>
      <c r="F28" s="32">
        <v>-24</v>
      </c>
      <c r="G28" s="32">
        <v>1</v>
      </c>
      <c r="H28" s="32">
        <v>26</v>
      </c>
      <c r="I28" s="32">
        <v>8</v>
      </c>
      <c r="J28" s="32">
        <v>-24</v>
      </c>
      <c r="K28" s="32">
        <v>1</v>
      </c>
      <c r="L28" s="32">
        <v>-24</v>
      </c>
      <c r="M28" s="32">
        <v>1</v>
      </c>
      <c r="N28" s="34" cm="1">
        <f t="array" ref="N28">C28+E28+G28+I28+K28+M28</f>
        <v>26</v>
      </c>
      <c r="O28" s="10"/>
      <c r="P28" s="8"/>
      <c r="Q28" s="8"/>
      <c r="R28" s="8"/>
      <c r="S28" s="8"/>
      <c r="T28" s="8"/>
      <c r="U28" s="8"/>
      <c r="V28" s="8"/>
      <c r="W28" s="8"/>
      <c r="X28" s="8"/>
      <c r="Y28" s="8"/>
      <c r="Z28" s="8"/>
      <c r="AA28" s="8"/>
      <c r="AB28" s="8"/>
      <c r="AC28" s="8"/>
      <c r="AD28" s="8"/>
      <c r="AE28" s="8"/>
      <c r="AF28" s="8"/>
      <c r="AG28" s="8"/>
      <c r="AH28" s="8"/>
      <c r="AI28" s="8"/>
    </row>
    <row r="29" ht="13.55" customHeight="1">
      <c r="A29" t="s" s="9">
        <v>13</v>
      </c>
      <c r="B29" s="32">
        <v>37</v>
      </c>
      <c r="C29" s="32">
        <v>4</v>
      </c>
      <c r="D29" s="33">
        <v>32</v>
      </c>
      <c r="E29" s="33">
        <v>6</v>
      </c>
      <c r="F29" s="32">
        <v>30</v>
      </c>
      <c r="G29" s="32">
        <v>7</v>
      </c>
      <c r="H29" s="32">
        <v>33</v>
      </c>
      <c r="I29" s="32">
        <v>6.5</v>
      </c>
      <c r="J29" s="32">
        <v>37</v>
      </c>
      <c r="K29" s="32">
        <v>4</v>
      </c>
      <c r="L29" s="32">
        <v>39</v>
      </c>
      <c r="M29" s="32">
        <v>5</v>
      </c>
      <c r="N29" s="34" cm="1">
        <f t="array" ref="N29">C29+E29+G29+I29+K29+M29</f>
        <v>32.5</v>
      </c>
      <c r="O29" s="10"/>
      <c r="P29" s="8"/>
      <c r="Q29" s="8"/>
      <c r="R29" s="8"/>
      <c r="S29" s="8"/>
      <c r="T29" s="8"/>
      <c r="U29" s="8"/>
      <c r="V29" s="8"/>
      <c r="W29" s="8"/>
      <c r="X29" s="8"/>
      <c r="Y29" s="8"/>
      <c r="Z29" s="8"/>
      <c r="AA29" s="8"/>
      <c r="AB29" s="8"/>
      <c r="AC29" s="8"/>
      <c r="AD29" s="8"/>
      <c r="AE29" s="8"/>
      <c r="AF29" s="8"/>
      <c r="AG29" s="8"/>
      <c r="AH29" s="8"/>
      <c r="AI29" s="8"/>
    </row>
    <row r="30" ht="13.55" customHeight="1">
      <c r="A30" t="s" s="9">
        <v>14</v>
      </c>
      <c r="B30" s="32">
        <v>29</v>
      </c>
      <c r="C30" s="32">
        <v>7</v>
      </c>
      <c r="D30" s="33">
        <v>33</v>
      </c>
      <c r="E30" s="33">
        <v>4.5</v>
      </c>
      <c r="F30" s="32">
        <v>32</v>
      </c>
      <c r="G30" s="32">
        <v>4</v>
      </c>
      <c r="H30" s="32">
        <v>37</v>
      </c>
      <c r="I30" s="32">
        <v>2</v>
      </c>
      <c r="J30" s="32">
        <v>31</v>
      </c>
      <c r="K30" s="32">
        <v>6</v>
      </c>
      <c r="L30" s="32">
        <v>33</v>
      </c>
      <c r="M30" s="32">
        <v>8</v>
      </c>
      <c r="N30" s="34" cm="1">
        <f t="array" ref="N30">C30+E30+G30+I30+K30+M30</f>
        <v>31.5</v>
      </c>
      <c r="O30" s="10"/>
      <c r="P30" s="8"/>
      <c r="Q30" s="8"/>
      <c r="R30" s="8"/>
      <c r="S30" s="8"/>
      <c r="T30" s="8"/>
      <c r="U30" s="8"/>
      <c r="V30" s="8"/>
      <c r="W30" s="8"/>
      <c r="X30" s="8"/>
      <c r="Y30" s="8"/>
      <c r="Z30" s="8"/>
      <c r="AA30" s="8"/>
      <c r="AB30" s="8"/>
      <c r="AC30" s="8"/>
      <c r="AD30" s="8"/>
      <c r="AE30" s="8"/>
      <c r="AF30" s="8"/>
      <c r="AG30" s="8"/>
      <c r="AH30" s="8"/>
      <c r="AI30" s="8"/>
    </row>
    <row r="31" ht="13.55" customHeight="1">
      <c r="A31" t="s" s="9">
        <v>15</v>
      </c>
      <c r="B31" s="32">
        <v>36</v>
      </c>
      <c r="C31" s="32">
        <v>5</v>
      </c>
      <c r="D31" s="33">
        <v>33</v>
      </c>
      <c r="E31" s="33">
        <v>4.5</v>
      </c>
      <c r="F31" s="32">
        <v>31</v>
      </c>
      <c r="G31" s="32">
        <v>5.5</v>
      </c>
      <c r="H31" s="32">
        <v>36</v>
      </c>
      <c r="I31" s="32">
        <v>3.5</v>
      </c>
      <c r="J31" s="32">
        <v>29</v>
      </c>
      <c r="K31" s="32">
        <v>8</v>
      </c>
      <c r="L31" s="32">
        <v>42</v>
      </c>
      <c r="M31" s="32">
        <v>4</v>
      </c>
      <c r="N31" s="34" cm="1">
        <f t="array" ref="N31">C31+E31+G31+I31+K31+M31</f>
        <v>30.5</v>
      </c>
      <c r="O31" s="10"/>
      <c r="P31" s="8"/>
      <c r="Q31" s="8"/>
      <c r="R31" s="8"/>
      <c r="S31" s="8"/>
      <c r="T31" s="8"/>
      <c r="U31" s="8"/>
      <c r="V31" s="8"/>
      <c r="W31" s="8"/>
      <c r="X31" s="8"/>
      <c r="Y31" s="8"/>
      <c r="Z31" s="8"/>
      <c r="AA31" s="8"/>
      <c r="AB31" s="8"/>
      <c r="AC31" s="8"/>
      <c r="AD31" s="8"/>
      <c r="AE31" s="8"/>
      <c r="AF31" s="8"/>
      <c r="AG31" s="8"/>
      <c r="AH31" s="8"/>
      <c r="AI31" s="8"/>
    </row>
    <row r="32" ht="13.55" customHeight="1">
      <c r="A32" t="s" s="9">
        <v>16</v>
      </c>
      <c r="B32" s="32">
        <v>-25</v>
      </c>
      <c r="C32" s="32">
        <v>1</v>
      </c>
      <c r="D32" s="33">
        <v>48</v>
      </c>
      <c r="E32" s="33">
        <v>2</v>
      </c>
      <c r="F32" s="32">
        <v>29</v>
      </c>
      <c r="G32" s="32">
        <v>8</v>
      </c>
      <c r="H32" s="32">
        <v>35</v>
      </c>
      <c r="I32" s="32">
        <v>5</v>
      </c>
      <c r="J32" s="32">
        <v>30</v>
      </c>
      <c r="K32" s="32">
        <v>7</v>
      </c>
      <c r="L32" s="32">
        <v>34</v>
      </c>
      <c r="M32" s="32">
        <v>7</v>
      </c>
      <c r="N32" s="34" cm="1">
        <f t="array" ref="N32">C32+E32+G32+I32+K32+M32</f>
        <v>30</v>
      </c>
      <c r="O32" s="10"/>
      <c r="P32" s="8"/>
      <c r="Q32" s="8"/>
      <c r="R32" s="8"/>
      <c r="S32" s="8"/>
      <c r="T32" s="8"/>
      <c r="U32" s="8"/>
      <c r="V32" s="8"/>
      <c r="W32" s="8"/>
      <c r="X32" s="8"/>
      <c r="Y32" s="8"/>
      <c r="Z32" s="8"/>
      <c r="AA32" s="8"/>
      <c r="AB32" s="8"/>
      <c r="AC32" s="8"/>
      <c r="AD32" s="8"/>
      <c r="AE32" s="8"/>
      <c r="AF32" s="8"/>
      <c r="AG32" s="8"/>
      <c r="AH32" s="8"/>
      <c r="AI32" s="8"/>
    </row>
    <row r="33" ht="13.55" customHeight="1">
      <c r="A33" s="29"/>
      <c r="B33" s="29"/>
      <c r="C33" s="29"/>
      <c r="D33" s="29"/>
      <c r="E33" s="29"/>
      <c r="F33" s="29"/>
      <c r="G33" s="29"/>
      <c r="H33" s="29"/>
      <c r="I33" s="29"/>
      <c r="J33" s="29"/>
      <c r="K33" s="29"/>
      <c r="L33" s="29"/>
      <c r="M33" s="29"/>
      <c r="N33" s="29"/>
      <c r="O33" s="8"/>
      <c r="P33" s="8"/>
      <c r="Q33" s="8"/>
      <c r="R33" s="8"/>
      <c r="S33" s="8"/>
      <c r="T33" s="8"/>
      <c r="U33" s="8"/>
      <c r="V33" s="8"/>
      <c r="W33" s="8"/>
      <c r="X33" s="8"/>
      <c r="Y33" s="8"/>
      <c r="Z33" s="8"/>
      <c r="AA33" s="8"/>
      <c r="AB33" s="8"/>
      <c r="AC33" s="8"/>
      <c r="AD33" s="8"/>
      <c r="AE33" s="8"/>
      <c r="AF33" s="8"/>
      <c r="AG33" s="8"/>
      <c r="AH33" s="8"/>
      <c r="AI33" s="8"/>
    </row>
    <row r="34" ht="13.55" customHeight="1">
      <c r="A34" t="s" s="9">
        <v>48</v>
      </c>
      <c r="B34" s="30"/>
      <c r="C34" s="30"/>
      <c r="D34" s="30"/>
      <c r="E34" s="30"/>
      <c r="F34" s="30"/>
      <c r="G34" s="30"/>
      <c r="H34" s="30"/>
      <c r="I34" s="30"/>
      <c r="J34" s="30"/>
      <c r="K34" s="30"/>
      <c r="L34" s="30"/>
      <c r="M34" s="30"/>
      <c r="N34" s="30"/>
      <c r="O34" s="10"/>
      <c r="P34" s="8"/>
      <c r="Q34" s="8"/>
      <c r="R34" s="8"/>
      <c r="S34" s="8"/>
      <c r="T34" s="8"/>
      <c r="U34" s="8"/>
      <c r="V34" s="8"/>
      <c r="W34" s="8"/>
      <c r="X34" s="8"/>
      <c r="Y34" s="8"/>
      <c r="Z34" s="8"/>
      <c r="AA34" s="8"/>
      <c r="AB34" s="8"/>
      <c r="AC34" s="8"/>
      <c r="AD34" s="8"/>
      <c r="AE34" s="8"/>
      <c r="AF34" s="8"/>
      <c r="AG34" s="8"/>
      <c r="AH34" s="8"/>
      <c r="AI34" s="8"/>
    </row>
    <row r="35" ht="13.55" customHeight="1">
      <c r="A35" t="s" s="9">
        <v>6</v>
      </c>
      <c r="B35" t="s" s="9">
        <v>25</v>
      </c>
      <c r="C35" t="s" s="9">
        <v>26</v>
      </c>
      <c r="D35" t="s" s="9">
        <v>27</v>
      </c>
      <c r="E35" t="s" s="9">
        <v>26</v>
      </c>
      <c r="F35" t="s" s="9">
        <v>28</v>
      </c>
      <c r="G35" t="s" s="9">
        <v>26</v>
      </c>
      <c r="H35" t="s" s="9">
        <v>29</v>
      </c>
      <c r="I35" t="s" s="9">
        <v>26</v>
      </c>
      <c r="J35" t="s" s="9">
        <v>30</v>
      </c>
      <c r="K35" t="s" s="9">
        <v>26</v>
      </c>
      <c r="L35" t="s" s="9">
        <v>31</v>
      </c>
      <c r="M35" t="s" s="9">
        <v>26</v>
      </c>
      <c r="N35" t="s" s="9">
        <v>9</v>
      </c>
      <c r="O35" s="10"/>
      <c r="P35" s="8"/>
      <c r="Q35" s="8"/>
      <c r="R35" s="8"/>
      <c r="S35" s="8"/>
      <c r="T35" s="8"/>
      <c r="U35" s="8"/>
      <c r="V35" s="8"/>
      <c r="W35" s="8"/>
      <c r="X35" s="8"/>
      <c r="Y35" s="8"/>
      <c r="Z35" s="8"/>
      <c r="AA35" s="8"/>
      <c r="AB35" s="8"/>
      <c r="AC35" s="8"/>
      <c r="AD35" s="8"/>
      <c r="AE35" s="8"/>
      <c r="AF35" s="8"/>
      <c r="AG35" s="8"/>
      <c r="AH35" s="8"/>
      <c r="AI35" s="8"/>
    </row>
    <row r="36" ht="13.55" customHeight="1">
      <c r="A36" t="s" s="9">
        <v>10</v>
      </c>
      <c r="B36" s="42">
        <v>49.7083333333333</v>
      </c>
      <c r="C36" s="32">
        <v>2</v>
      </c>
      <c r="D36" s="42">
        <v>38.7083333333333</v>
      </c>
      <c r="E36" s="32">
        <v>3</v>
      </c>
      <c r="F36" s="42">
        <v>34.7083333333333</v>
      </c>
      <c r="G36" s="32">
        <v>6</v>
      </c>
      <c r="H36" s="42">
        <v>47.7083333333333</v>
      </c>
      <c r="I36" s="32">
        <v>3</v>
      </c>
      <c r="J36" s="42">
        <v>29.7083333333333</v>
      </c>
      <c r="K36" s="32">
        <v>6</v>
      </c>
      <c r="L36" s="42">
        <v>34.7083333333333</v>
      </c>
      <c r="M36" s="32">
        <v>4.5</v>
      </c>
      <c r="N36" s="34" cm="1">
        <f t="array" ref="N36">C36+E36+G36+I36+K36+M36</f>
        <v>24.5</v>
      </c>
      <c r="O36" s="10"/>
      <c r="P36" s="8"/>
      <c r="Q36" s="8"/>
      <c r="R36" s="8"/>
      <c r="S36" s="8"/>
      <c r="T36" s="8"/>
      <c r="U36" s="8"/>
      <c r="V36" s="8"/>
      <c r="W36" s="8"/>
      <c r="X36" s="8"/>
      <c r="Y36" s="8"/>
      <c r="Z36" s="8"/>
      <c r="AA36" s="8"/>
      <c r="AB36" s="8"/>
      <c r="AC36" s="8"/>
      <c r="AD36" s="8"/>
      <c r="AE36" s="8"/>
      <c r="AF36" s="8"/>
      <c r="AG36" s="8"/>
      <c r="AH36" s="8"/>
      <c r="AI36" s="8"/>
    </row>
    <row r="37" ht="13.55" customHeight="1">
      <c r="A37" t="s" s="9">
        <v>17</v>
      </c>
      <c r="B37" s="42">
        <v>43.325</v>
      </c>
      <c r="C37" s="32">
        <v>4</v>
      </c>
      <c r="D37" s="42">
        <v>31.325</v>
      </c>
      <c r="E37" s="32">
        <v>7</v>
      </c>
      <c r="F37" s="42">
        <v>46.325</v>
      </c>
      <c r="G37" s="32">
        <v>1</v>
      </c>
      <c r="H37" s="42">
        <v>50.325</v>
      </c>
      <c r="I37" s="32">
        <v>1.5</v>
      </c>
      <c r="J37" s="42">
        <v>31.325</v>
      </c>
      <c r="K37" s="32">
        <v>5</v>
      </c>
      <c r="L37" s="42">
        <v>36.325</v>
      </c>
      <c r="M37" s="32">
        <v>3</v>
      </c>
      <c r="N37" s="34" cm="1">
        <f t="array" ref="N37">C37+E37+G37+I37+K37+M37</f>
        <v>21.5</v>
      </c>
      <c r="O37" s="10"/>
      <c r="P37" s="8"/>
      <c r="Q37" s="8"/>
      <c r="R37" s="8"/>
      <c r="S37" s="8"/>
      <c r="T37" s="8"/>
      <c r="U37" s="8"/>
      <c r="V37" s="8"/>
      <c r="W37" s="8"/>
      <c r="X37" s="8"/>
      <c r="Y37" s="8"/>
      <c r="Z37" s="8"/>
      <c r="AA37" s="8"/>
      <c r="AB37" s="8"/>
      <c r="AC37" s="8"/>
      <c r="AD37" s="8"/>
      <c r="AE37" s="8"/>
      <c r="AF37" s="8"/>
      <c r="AG37" s="8"/>
      <c r="AH37" s="8"/>
      <c r="AI37" s="8"/>
    </row>
    <row r="38" ht="13.55" customHeight="1">
      <c r="A38" t="s" s="9">
        <v>11</v>
      </c>
      <c r="B38" s="42">
        <v>36.5340909090909</v>
      </c>
      <c r="C38" s="32">
        <v>6</v>
      </c>
      <c r="D38" s="42">
        <v>35.5340909090909</v>
      </c>
      <c r="E38" s="32">
        <v>4.5</v>
      </c>
      <c r="F38" s="42">
        <v>35.5340909090909</v>
      </c>
      <c r="G38" s="32">
        <v>5</v>
      </c>
      <c r="H38" s="42">
        <v>40.5340909090909</v>
      </c>
      <c r="I38" s="32">
        <v>5</v>
      </c>
      <c r="J38" s="42">
        <v>-7.46590909090909</v>
      </c>
      <c r="K38" s="32">
        <v>1</v>
      </c>
      <c r="L38" s="42">
        <v>-7.46590909090909</v>
      </c>
      <c r="M38" s="32">
        <v>1</v>
      </c>
      <c r="N38" s="34" cm="1">
        <f t="array" ref="N38">C38+E38+G38+I38+K38+M38</f>
        <v>22.5</v>
      </c>
      <c r="O38" s="10"/>
      <c r="P38" s="8"/>
      <c r="Q38" s="8"/>
      <c r="R38" s="8"/>
      <c r="S38" s="8"/>
      <c r="T38" s="8"/>
      <c r="U38" s="8"/>
      <c r="V38" s="8"/>
      <c r="W38" s="8"/>
      <c r="X38" s="8"/>
      <c r="Y38" s="8"/>
      <c r="Z38" s="8"/>
      <c r="AA38" s="8"/>
      <c r="AB38" s="8"/>
      <c r="AC38" s="8"/>
      <c r="AD38" s="8"/>
      <c r="AE38" s="8"/>
      <c r="AF38" s="8"/>
      <c r="AG38" s="8"/>
      <c r="AH38" s="8"/>
      <c r="AI38" s="8"/>
    </row>
    <row r="39" ht="13.55" customHeight="1">
      <c r="A39" t="s" s="9">
        <v>12</v>
      </c>
      <c r="B39" s="42">
        <v>36.4431818181818</v>
      </c>
      <c r="C39" s="32">
        <v>7</v>
      </c>
      <c r="D39" s="42">
        <v>53.4431818181818</v>
      </c>
      <c r="E39" s="32">
        <v>2</v>
      </c>
      <c r="F39" s="42">
        <v>31.4431818181818</v>
      </c>
      <c r="G39" s="32">
        <v>7</v>
      </c>
      <c r="H39" s="42">
        <v>50.4431818181818</v>
      </c>
      <c r="I39" s="32">
        <v>1.5</v>
      </c>
      <c r="J39" s="42">
        <v>34.4431818181818</v>
      </c>
      <c r="K39" s="32">
        <v>3</v>
      </c>
      <c r="L39" s="42">
        <v>35.4431818181818</v>
      </c>
      <c r="M39" s="32">
        <v>4.5</v>
      </c>
      <c r="N39" s="34" cm="1">
        <f t="array" ref="N39">C39+E39+G39+I39+K39+M39</f>
        <v>25</v>
      </c>
      <c r="O39" s="10"/>
      <c r="P39" s="8"/>
      <c r="Q39" s="8"/>
      <c r="R39" s="8"/>
      <c r="S39" s="8"/>
      <c r="T39" s="8"/>
      <c r="U39" s="8"/>
      <c r="V39" s="8"/>
      <c r="W39" s="8"/>
      <c r="X39" s="8"/>
      <c r="Y39" s="8"/>
      <c r="Z39" s="8"/>
      <c r="AA39" s="8"/>
      <c r="AB39" s="8"/>
      <c r="AC39" s="8"/>
      <c r="AD39" s="8"/>
      <c r="AE39" s="8"/>
      <c r="AF39" s="8"/>
      <c r="AG39" s="8"/>
      <c r="AH39" s="8"/>
      <c r="AI39" s="8"/>
    </row>
    <row r="40" ht="13.55" customHeight="1">
      <c r="A40" t="s" s="9">
        <v>13</v>
      </c>
      <c r="B40" s="42">
        <v>-7.375</v>
      </c>
      <c r="C40" s="32">
        <v>1</v>
      </c>
      <c r="D40" s="42">
        <v>-7.375</v>
      </c>
      <c r="E40" s="32">
        <v>1</v>
      </c>
      <c r="F40" s="42">
        <v>36.625</v>
      </c>
      <c r="G40" s="32">
        <v>4</v>
      </c>
      <c r="H40" s="42">
        <v>38.625</v>
      </c>
      <c r="I40" s="32">
        <v>6</v>
      </c>
      <c r="J40" s="42">
        <v>31.625</v>
      </c>
      <c r="K40" s="32">
        <v>4</v>
      </c>
      <c r="L40" s="42">
        <v>37.625</v>
      </c>
      <c r="M40" s="32">
        <v>2</v>
      </c>
      <c r="N40" s="34" cm="1">
        <f t="array" ref="N40">C40+E40+G40+I40+K40+M40</f>
        <v>18</v>
      </c>
      <c r="O40" s="10"/>
      <c r="P40" s="8"/>
      <c r="Q40" s="8"/>
      <c r="R40" s="8"/>
      <c r="S40" s="8"/>
      <c r="T40" s="8"/>
      <c r="U40" s="8"/>
      <c r="V40" s="8"/>
      <c r="W40" s="8"/>
      <c r="X40" s="8"/>
      <c r="Y40" s="8"/>
      <c r="Z40" s="8"/>
      <c r="AA40" s="8"/>
      <c r="AB40" s="8"/>
      <c r="AC40" s="8"/>
      <c r="AD40" s="8"/>
      <c r="AE40" s="8"/>
      <c r="AF40" s="8"/>
      <c r="AG40" s="8"/>
      <c r="AH40" s="8"/>
      <c r="AI40" s="8"/>
    </row>
    <row r="41" ht="13.55" customHeight="1">
      <c r="A41" t="s" s="9">
        <v>14</v>
      </c>
      <c r="B41" s="42">
        <v>35.2403846153846</v>
      </c>
      <c r="C41" s="32">
        <v>8</v>
      </c>
      <c r="D41" s="42">
        <v>36.2403846153846</v>
      </c>
      <c r="E41" s="32">
        <v>4.5</v>
      </c>
      <c r="F41" s="42">
        <v>40.2403846153846</v>
      </c>
      <c r="G41" s="32">
        <v>2</v>
      </c>
      <c r="H41" s="42">
        <v>37.2403846153846</v>
      </c>
      <c r="I41" s="32">
        <v>8</v>
      </c>
      <c r="J41" s="42">
        <v>36.2403846153846</v>
      </c>
      <c r="K41" s="32">
        <v>2</v>
      </c>
      <c r="L41" s="42">
        <v>31.2403846153846</v>
      </c>
      <c r="M41" s="32">
        <v>7</v>
      </c>
      <c r="N41" s="34" cm="1">
        <f t="array" ref="N41">C41+E41+G41+I41+K41+M41</f>
        <v>31.5</v>
      </c>
      <c r="O41" s="10"/>
      <c r="P41" s="8"/>
      <c r="Q41" s="8"/>
      <c r="R41" s="8"/>
      <c r="S41" s="8"/>
      <c r="T41" s="8"/>
      <c r="U41" s="8"/>
      <c r="V41" s="8"/>
      <c r="W41" s="8"/>
      <c r="X41" s="8"/>
      <c r="Y41" s="8"/>
      <c r="Z41" s="8"/>
      <c r="AA41" s="8"/>
      <c r="AB41" s="8"/>
      <c r="AC41" s="8"/>
      <c r="AD41" s="8"/>
      <c r="AE41" s="8"/>
      <c r="AF41" s="8"/>
      <c r="AG41" s="8"/>
      <c r="AH41" s="8"/>
      <c r="AI41" s="8"/>
    </row>
    <row r="42" ht="13.55" customHeight="1">
      <c r="A42" t="s" s="9">
        <v>15</v>
      </c>
      <c r="B42" s="42">
        <v>38.7678571428571</v>
      </c>
      <c r="C42" s="32">
        <v>5</v>
      </c>
      <c r="D42" s="42">
        <v>34.7678571428571</v>
      </c>
      <c r="E42" s="32">
        <v>6</v>
      </c>
      <c r="F42" s="42">
        <v>38.7678571428571</v>
      </c>
      <c r="G42" s="32">
        <v>3</v>
      </c>
      <c r="H42" s="42">
        <v>41.7678571428571</v>
      </c>
      <c r="I42" s="32">
        <v>4</v>
      </c>
      <c r="J42" s="42">
        <v>26.7678571428571</v>
      </c>
      <c r="K42" s="32">
        <v>7.5</v>
      </c>
      <c r="L42" s="42">
        <v>31.7678571428571</v>
      </c>
      <c r="M42" s="32">
        <v>6</v>
      </c>
      <c r="N42" s="34" cm="1">
        <f t="array" ref="N42">C42+E42+G42+I42+K42+M42</f>
        <v>31.5</v>
      </c>
      <c r="O42" s="10"/>
      <c r="P42" s="8"/>
      <c r="Q42" s="8"/>
      <c r="R42" s="8"/>
      <c r="S42" s="8"/>
      <c r="T42" s="8"/>
      <c r="U42" s="8"/>
      <c r="V42" s="8"/>
      <c r="W42" s="8"/>
      <c r="X42" s="8"/>
      <c r="Y42" s="8"/>
      <c r="Z42" s="8"/>
      <c r="AA42" s="8"/>
      <c r="AB42" s="8"/>
      <c r="AC42" s="8"/>
      <c r="AD42" s="8"/>
      <c r="AE42" s="8"/>
      <c r="AF42" s="8"/>
      <c r="AG42" s="8"/>
      <c r="AH42" s="8"/>
      <c r="AI42" s="8"/>
    </row>
    <row r="43" ht="13.55" customHeight="1">
      <c r="A43" t="s" s="9">
        <v>16</v>
      </c>
      <c r="B43" s="42">
        <v>47.0416666666667</v>
      </c>
      <c r="C43" s="32">
        <v>3</v>
      </c>
      <c r="D43" s="42">
        <v>27.0416666666667</v>
      </c>
      <c r="E43" s="32">
        <v>8</v>
      </c>
      <c r="F43" s="42">
        <v>30.0416666666667</v>
      </c>
      <c r="G43" s="32">
        <v>8</v>
      </c>
      <c r="H43" s="42">
        <v>38.0416666666667</v>
      </c>
      <c r="I43" s="32">
        <v>7</v>
      </c>
      <c r="J43" s="42">
        <v>27.0416666666667</v>
      </c>
      <c r="K43" s="32">
        <v>7.5</v>
      </c>
      <c r="L43" s="42">
        <v>28.0416666666667</v>
      </c>
      <c r="M43" s="32">
        <v>8</v>
      </c>
      <c r="N43" s="34" cm="1">
        <f t="array" ref="N43">C43+E43+G43+I43+K43+M43</f>
        <v>41.5</v>
      </c>
      <c r="O43" s="10"/>
      <c r="P43" s="8"/>
      <c r="Q43" s="8"/>
      <c r="R43" s="8"/>
      <c r="S43" s="8"/>
      <c r="T43" s="8"/>
      <c r="U43" s="8"/>
      <c r="V43" s="8"/>
      <c r="W43" s="8"/>
      <c r="X43" s="8"/>
      <c r="Y43" s="8"/>
      <c r="Z43" s="8"/>
      <c r="AA43" s="8"/>
      <c r="AB43" s="8"/>
      <c r="AC43" s="8"/>
      <c r="AD43" s="8"/>
      <c r="AE43" s="8"/>
      <c r="AF43" s="8"/>
      <c r="AG43" s="8"/>
      <c r="AH43" s="8"/>
      <c r="AI43" s="8"/>
    </row>
  </sheetData>
  <mergeCells count="4">
    <mergeCell ref="A23:N23"/>
    <mergeCell ref="A34:N34"/>
    <mergeCell ref="A12:N12"/>
    <mergeCell ref="P12:AI1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B11"/>
  <sheetViews>
    <sheetView workbookViewId="0" showGridLines="0" defaultGridColor="1"/>
  </sheetViews>
  <sheetFormatPr defaultColWidth="13.3333" defaultRowHeight="17.4" customHeight="1" outlineLevelRow="0" outlineLevelCol="0"/>
  <cols>
    <col min="1" max="2" width="13.3516" style="43" customWidth="1"/>
    <col min="3" max="16384" width="13.3516" style="43" customWidth="1"/>
  </cols>
  <sheetData>
    <row r="1" ht="12.35" customHeight="1">
      <c r="A1" t="s" s="17">
        <v>49</v>
      </c>
      <c r="B1" s="17"/>
    </row>
    <row r="2" ht="15.3" customHeight="1">
      <c r="A2" t="s" s="18">
        <v>6</v>
      </c>
      <c r="B2" t="s" s="19">
        <v>21</v>
      </c>
    </row>
    <row r="3" ht="15.3" customHeight="1">
      <c r="A3" t="s" s="20">
        <v>13</v>
      </c>
      <c r="B3" s="21">
        <v>40</v>
      </c>
    </row>
    <row r="4" ht="15.05" customHeight="1">
      <c r="A4" t="s" s="22">
        <v>14</v>
      </c>
      <c r="B4" s="23">
        <v>33</v>
      </c>
    </row>
    <row r="5" ht="15.05" customHeight="1">
      <c r="A5" t="s" s="22">
        <v>15</v>
      </c>
      <c r="B5" s="23">
        <v>32</v>
      </c>
    </row>
    <row r="6" ht="15.05" customHeight="1">
      <c r="A6" t="s" s="22">
        <v>11</v>
      </c>
      <c r="B6" s="23">
        <v>27</v>
      </c>
    </row>
    <row r="7" ht="15.05" customHeight="1">
      <c r="A7" t="s" s="22">
        <v>10</v>
      </c>
      <c r="B7" s="23">
        <v>26</v>
      </c>
    </row>
    <row r="8" ht="15.05" customHeight="1">
      <c r="A8" t="s" s="22">
        <v>16</v>
      </c>
      <c r="B8" s="23">
        <v>23</v>
      </c>
    </row>
    <row r="9" ht="15.05" customHeight="1">
      <c r="A9" t="s" s="22">
        <v>12</v>
      </c>
      <c r="B9" s="23">
        <v>19</v>
      </c>
    </row>
    <row r="10" ht="15.3" customHeight="1">
      <c r="A10" t="s" s="24">
        <v>17</v>
      </c>
      <c r="B10" s="25">
        <v>15</v>
      </c>
    </row>
    <row r="11" ht="15.3" customHeight="1">
      <c r="A11" t="s" s="26">
        <v>22</v>
      </c>
      <c r="B11" s="27">
        <v>215</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Z60"/>
  <sheetViews>
    <sheetView workbookViewId="0" showGridLines="0" defaultGridColor="1"/>
  </sheetViews>
  <sheetFormatPr defaultColWidth="8.83333" defaultRowHeight="14.5" customHeight="1" outlineLevelRow="0" outlineLevelCol="0"/>
  <cols>
    <col min="1" max="1" width="10.6719" style="44" customWidth="1"/>
    <col min="2" max="2" width="11.3516" style="44" customWidth="1"/>
    <col min="3" max="12" width="9.17188" style="44" customWidth="1"/>
    <col min="13" max="13" width="8.85156" style="44" customWidth="1"/>
    <col min="14" max="24" width="9.17188" style="44" customWidth="1"/>
    <col min="25" max="26" width="8.85156" style="44" customWidth="1"/>
    <col min="27" max="16384" width="8.85156" style="44" customWidth="1"/>
  </cols>
  <sheetData>
    <row r="1" ht="9" customHeight="1" hidden="1">
      <c r="A1" s="29"/>
      <c r="B1" s="29"/>
      <c r="C1" s="29"/>
      <c r="D1" s="29"/>
      <c r="E1" s="29"/>
      <c r="F1" s="29"/>
      <c r="G1" s="29"/>
      <c r="H1" s="29"/>
      <c r="I1" s="29"/>
      <c r="J1" s="29"/>
      <c r="K1" s="29"/>
      <c r="L1" s="29"/>
      <c r="M1" s="29"/>
      <c r="N1" s="29"/>
      <c r="O1" s="8"/>
      <c r="P1" s="29"/>
      <c r="Q1" s="29"/>
      <c r="R1" s="8"/>
      <c r="S1" s="8"/>
      <c r="T1" s="29"/>
      <c r="U1" s="29"/>
      <c r="V1" s="29"/>
      <c r="W1" s="29"/>
      <c r="X1" s="29"/>
      <c r="Y1" s="29"/>
      <c r="Z1" s="29"/>
    </row>
    <row r="2" ht="9" customHeight="1" hidden="1">
      <c r="A2" s="29"/>
      <c r="B2" s="29"/>
      <c r="C2" s="29"/>
      <c r="D2" s="29"/>
      <c r="E2" s="29"/>
      <c r="F2" s="29"/>
      <c r="G2" s="29"/>
      <c r="H2" s="29"/>
      <c r="I2" s="29"/>
      <c r="J2" s="29"/>
      <c r="K2" s="29"/>
      <c r="L2" s="29"/>
      <c r="M2" s="29"/>
      <c r="N2" s="29"/>
      <c r="O2" s="8"/>
      <c r="P2" s="29"/>
      <c r="Q2" s="29"/>
      <c r="R2" s="8"/>
      <c r="S2" s="8"/>
      <c r="T2" s="29"/>
      <c r="U2" s="29"/>
      <c r="V2" s="29"/>
      <c r="W2" s="29"/>
      <c r="X2" s="29"/>
      <c r="Y2" s="29"/>
      <c r="Z2" s="29"/>
    </row>
    <row r="3" ht="9" customHeight="1" hidden="1">
      <c r="A3" s="29"/>
      <c r="B3" s="29"/>
      <c r="C3" s="29"/>
      <c r="D3" s="29"/>
      <c r="E3" s="29"/>
      <c r="F3" s="29"/>
      <c r="G3" s="29"/>
      <c r="H3" s="29"/>
      <c r="I3" s="29"/>
      <c r="J3" s="29"/>
      <c r="K3" s="29"/>
      <c r="L3" s="29"/>
      <c r="M3" s="29"/>
      <c r="N3" s="29"/>
      <c r="O3" s="8"/>
      <c r="P3" s="29"/>
      <c r="Q3" s="29"/>
      <c r="R3" s="8"/>
      <c r="S3" s="8"/>
      <c r="T3" s="29"/>
      <c r="U3" s="29"/>
      <c r="V3" s="29"/>
      <c r="W3" s="29"/>
      <c r="X3" s="29"/>
      <c r="Y3" s="29"/>
      <c r="Z3" s="29"/>
    </row>
    <row r="4" ht="9" customHeight="1" hidden="1">
      <c r="A4" s="29"/>
      <c r="B4" s="29"/>
      <c r="C4" s="29"/>
      <c r="D4" s="29"/>
      <c r="E4" s="29"/>
      <c r="F4" s="29"/>
      <c r="G4" s="29"/>
      <c r="H4" s="29"/>
      <c r="I4" s="29"/>
      <c r="J4" s="29"/>
      <c r="K4" s="29"/>
      <c r="L4" s="29"/>
      <c r="M4" s="29"/>
      <c r="N4" s="29"/>
      <c r="O4" s="8"/>
      <c r="P4" s="29"/>
      <c r="Q4" s="29"/>
      <c r="R4" s="8"/>
      <c r="S4" s="8"/>
      <c r="T4" s="29"/>
      <c r="U4" s="29"/>
      <c r="V4" s="29"/>
      <c r="W4" s="29"/>
      <c r="X4" s="29"/>
      <c r="Y4" s="29"/>
      <c r="Z4" s="29"/>
    </row>
    <row r="5" ht="9" customHeight="1" hidden="1">
      <c r="A5" s="29"/>
      <c r="B5" s="29"/>
      <c r="C5" s="29"/>
      <c r="D5" s="29"/>
      <c r="E5" s="29"/>
      <c r="F5" s="29"/>
      <c r="G5" s="29"/>
      <c r="H5" s="29"/>
      <c r="I5" s="29"/>
      <c r="J5" s="29"/>
      <c r="K5" s="29"/>
      <c r="L5" s="29"/>
      <c r="M5" s="29"/>
      <c r="N5" s="29"/>
      <c r="O5" s="8"/>
      <c r="P5" s="29"/>
      <c r="Q5" s="29"/>
      <c r="R5" s="8"/>
      <c r="S5" s="8"/>
      <c r="T5" s="29"/>
      <c r="U5" s="29"/>
      <c r="V5" s="29"/>
      <c r="W5" s="29"/>
      <c r="X5" s="29"/>
      <c r="Y5" s="29"/>
      <c r="Z5" s="29"/>
    </row>
    <row r="6" ht="9" customHeight="1" hidden="1">
      <c r="A6" s="29"/>
      <c r="B6" s="29"/>
      <c r="C6" s="29"/>
      <c r="D6" s="29"/>
      <c r="E6" s="29"/>
      <c r="F6" s="29"/>
      <c r="G6" s="29"/>
      <c r="H6" s="29"/>
      <c r="I6" s="29"/>
      <c r="J6" s="29"/>
      <c r="K6" s="29"/>
      <c r="L6" s="29"/>
      <c r="M6" s="29"/>
      <c r="N6" s="29"/>
      <c r="O6" s="8"/>
      <c r="P6" s="29"/>
      <c r="Q6" s="29"/>
      <c r="R6" s="8"/>
      <c r="S6" s="8"/>
      <c r="T6" s="29"/>
      <c r="U6" s="29"/>
      <c r="V6" s="29"/>
      <c r="W6" s="29"/>
      <c r="X6" s="29"/>
      <c r="Y6" s="29"/>
      <c r="Z6" s="29"/>
    </row>
    <row r="7" ht="9" customHeight="1" hidden="1">
      <c r="A7" s="29"/>
      <c r="B7" s="29"/>
      <c r="C7" s="29"/>
      <c r="D7" s="29"/>
      <c r="E7" s="29"/>
      <c r="F7" s="29"/>
      <c r="G7" s="29"/>
      <c r="H7" s="29"/>
      <c r="I7" s="29"/>
      <c r="J7" s="29"/>
      <c r="K7" s="29"/>
      <c r="L7" s="29"/>
      <c r="M7" s="29"/>
      <c r="N7" s="29"/>
      <c r="O7" s="8"/>
      <c r="P7" s="29"/>
      <c r="Q7" s="29"/>
      <c r="R7" s="8"/>
      <c r="S7" s="8"/>
      <c r="T7" s="29"/>
      <c r="U7" s="29"/>
      <c r="V7" s="29"/>
      <c r="W7" s="29"/>
      <c r="X7" s="29"/>
      <c r="Y7" s="29"/>
      <c r="Z7" s="29"/>
    </row>
    <row r="8" ht="9" customHeight="1" hidden="1">
      <c r="A8" s="29"/>
      <c r="B8" s="29"/>
      <c r="C8" s="29"/>
      <c r="D8" s="29"/>
      <c r="E8" s="29"/>
      <c r="F8" s="29"/>
      <c r="G8" s="29"/>
      <c r="H8" s="29"/>
      <c r="I8" s="29"/>
      <c r="J8" s="29"/>
      <c r="K8" s="29"/>
      <c r="L8" s="29"/>
      <c r="M8" s="29"/>
      <c r="N8" s="29"/>
      <c r="O8" s="8"/>
      <c r="P8" s="29"/>
      <c r="Q8" s="29"/>
      <c r="R8" s="8"/>
      <c r="S8" s="8"/>
      <c r="T8" s="29"/>
      <c r="U8" s="29"/>
      <c r="V8" s="29"/>
      <c r="W8" s="29"/>
      <c r="X8" s="29"/>
      <c r="Y8" s="29"/>
      <c r="Z8" s="29"/>
    </row>
    <row r="9" ht="9" customHeight="1" hidden="1">
      <c r="A9" s="29"/>
      <c r="B9" s="29"/>
      <c r="C9" s="29"/>
      <c r="D9" s="29"/>
      <c r="E9" s="29"/>
      <c r="F9" s="29"/>
      <c r="G9" s="29"/>
      <c r="H9" s="29"/>
      <c r="I9" s="29"/>
      <c r="J9" s="29"/>
      <c r="K9" s="29"/>
      <c r="L9" s="29"/>
      <c r="M9" s="29"/>
      <c r="N9" s="29"/>
      <c r="O9" s="8"/>
      <c r="P9" s="29"/>
      <c r="Q9" s="29"/>
      <c r="R9" s="8"/>
      <c r="S9" s="8"/>
      <c r="T9" s="29"/>
      <c r="U9" s="29"/>
      <c r="V9" s="29"/>
      <c r="W9" s="29"/>
      <c r="X9" s="29"/>
      <c r="Y9" s="29"/>
      <c r="Z9" s="29"/>
    </row>
    <row r="10" ht="9" customHeight="1" hidden="1">
      <c r="A10" s="29"/>
      <c r="B10" s="29"/>
      <c r="C10" s="29"/>
      <c r="D10" s="29"/>
      <c r="E10" s="29"/>
      <c r="F10" s="29"/>
      <c r="G10" s="29"/>
      <c r="H10" s="29"/>
      <c r="I10" s="29"/>
      <c r="J10" s="29"/>
      <c r="K10" s="29"/>
      <c r="L10" s="29"/>
      <c r="M10" s="29"/>
      <c r="N10" s="29"/>
      <c r="O10" s="8"/>
      <c r="P10" s="29"/>
      <c r="Q10" s="29"/>
      <c r="R10" s="8"/>
      <c r="S10" s="8"/>
      <c r="T10" s="29"/>
      <c r="U10" s="29"/>
      <c r="V10" s="29"/>
      <c r="W10" s="29"/>
      <c r="X10" s="29"/>
      <c r="Y10" s="29"/>
      <c r="Z10" s="29"/>
    </row>
    <row r="11" ht="9" customHeight="1" hidden="1">
      <c r="A11" s="29"/>
      <c r="B11" s="29"/>
      <c r="C11" s="29"/>
      <c r="D11" s="29"/>
      <c r="E11" s="29"/>
      <c r="F11" s="29"/>
      <c r="G11" s="29"/>
      <c r="H11" s="29"/>
      <c r="I11" s="29"/>
      <c r="J11" s="29"/>
      <c r="K11" s="29"/>
      <c r="L11" s="29"/>
      <c r="M11" s="29"/>
      <c r="N11" s="29"/>
      <c r="O11" s="8"/>
      <c r="P11" s="29"/>
      <c r="Q11" s="29"/>
      <c r="R11" s="8"/>
      <c r="S11" s="8"/>
      <c r="T11" s="29"/>
      <c r="U11" s="29"/>
      <c r="V11" s="29"/>
      <c r="W11" s="29"/>
      <c r="X11" s="29"/>
      <c r="Y11" s="29"/>
      <c r="Z11" s="29"/>
    </row>
    <row r="12" ht="13.55" customHeight="1">
      <c r="A12" t="s" s="9">
        <v>24</v>
      </c>
      <c r="B12" s="30"/>
      <c r="C12" s="30"/>
      <c r="D12" s="30"/>
      <c r="E12" s="30"/>
      <c r="F12" s="30"/>
      <c r="G12" s="30"/>
      <c r="H12" s="30"/>
      <c r="I12" s="30"/>
      <c r="J12" s="30"/>
      <c r="K12" s="30"/>
      <c r="L12" s="30"/>
      <c r="M12" s="30"/>
      <c r="N12" s="30"/>
      <c r="O12" s="31"/>
      <c r="P12" t="s" s="45">
        <v>26</v>
      </c>
      <c r="Q12" s="46"/>
      <c r="R12" t="s" s="47">
        <v>52</v>
      </c>
      <c r="S12" s="48"/>
      <c r="T12" t="s" s="9">
        <v>8</v>
      </c>
      <c r="U12" s="30"/>
      <c r="V12" s="30"/>
      <c r="W12" s="30"/>
      <c r="X12" s="30"/>
      <c r="Y12" s="30"/>
      <c r="Z12" s="30"/>
    </row>
    <row r="13" ht="13.55" customHeight="1">
      <c r="A13" t="s" s="9">
        <v>6</v>
      </c>
      <c r="B13" t="s" s="9">
        <v>25</v>
      </c>
      <c r="C13" t="s" s="9">
        <v>26</v>
      </c>
      <c r="D13" t="s" s="9">
        <v>27</v>
      </c>
      <c r="E13" t="s" s="9">
        <v>26</v>
      </c>
      <c r="F13" t="s" s="9">
        <v>28</v>
      </c>
      <c r="G13" t="s" s="9">
        <v>26</v>
      </c>
      <c r="H13" t="s" s="9">
        <v>29</v>
      </c>
      <c r="I13" t="s" s="9">
        <v>26</v>
      </c>
      <c r="J13" t="s" s="9">
        <v>30</v>
      </c>
      <c r="K13" t="s" s="9">
        <v>26</v>
      </c>
      <c r="L13" t="s" s="9">
        <v>31</v>
      </c>
      <c r="M13" t="s" s="9">
        <v>26</v>
      </c>
      <c r="N13" t="s" s="9">
        <v>9</v>
      </c>
      <c r="O13" s="31"/>
      <c r="P13" t="s" s="9">
        <v>53</v>
      </c>
      <c r="Q13" s="32">
        <v>8</v>
      </c>
      <c r="R13" s="10"/>
      <c r="S13" s="48"/>
      <c r="T13" t="s" s="9">
        <v>6</v>
      </c>
      <c r="U13" t="s" s="9">
        <v>25</v>
      </c>
      <c r="V13" t="s" s="9">
        <v>27</v>
      </c>
      <c r="W13" t="s" s="9">
        <v>28</v>
      </c>
      <c r="X13" t="s" s="9">
        <v>29</v>
      </c>
      <c r="Y13" t="s" s="9">
        <v>30</v>
      </c>
      <c r="Z13" t="s" s="9">
        <v>31</v>
      </c>
    </row>
    <row r="14" ht="13.55" customHeight="1">
      <c r="A14" t="s" s="9">
        <v>10</v>
      </c>
      <c r="B14" s="32" cm="1">
        <f t="array" ref="B14">M26</f>
        <v>38.5</v>
      </c>
      <c r="C14" s="32">
        <v>3</v>
      </c>
      <c r="D14" s="33" cm="1">
        <f t="array" ref="D14">Y26</f>
        <v>-25.5</v>
      </c>
      <c r="E14" s="33">
        <v>1</v>
      </c>
      <c r="F14" s="32" cm="1">
        <f t="array" ref="F14">M39</f>
        <v>-25.5</v>
      </c>
      <c r="G14" s="32">
        <v>1</v>
      </c>
      <c r="H14" s="32" cm="1">
        <f t="array" ref="H14">Y39</f>
        <v>34.5</v>
      </c>
      <c r="I14" s="32">
        <v>6</v>
      </c>
      <c r="J14" s="32" cm="1">
        <f t="array" ref="J14">M52</f>
        <v>27.5</v>
      </c>
      <c r="K14" s="32">
        <v>8</v>
      </c>
      <c r="L14" s="32" cm="1">
        <f t="array" ref="L14">Y52</f>
        <v>30.5</v>
      </c>
      <c r="M14" s="32">
        <v>7</v>
      </c>
      <c r="N14" s="34" cm="1">
        <f t="array" ref="N14">C14+E14+G14+I14+K14+M14</f>
        <v>26</v>
      </c>
      <c r="O14" s="31"/>
      <c r="P14" t="s" s="9">
        <v>54</v>
      </c>
      <c r="Q14" s="32">
        <v>7</v>
      </c>
      <c r="R14" s="10"/>
      <c r="S14" s="48"/>
      <c r="T14" t="s" s="9">
        <v>10</v>
      </c>
      <c r="U14" t="s" s="36">
        <v>44</v>
      </c>
      <c r="V14" t="s" s="36">
        <v>44</v>
      </c>
      <c r="W14" t="s" s="36">
        <v>44</v>
      </c>
      <c r="X14" t="s" s="36">
        <v>44</v>
      </c>
      <c r="Y14" t="s" s="36">
        <v>44</v>
      </c>
      <c r="Z14" t="s" s="36">
        <v>44</v>
      </c>
    </row>
    <row r="15" ht="13.55" customHeight="1">
      <c r="A15" t="s" s="9">
        <v>17</v>
      </c>
      <c r="B15" s="32" cm="1">
        <f t="array" ref="B15">M27</f>
        <v>32.5</v>
      </c>
      <c r="C15" s="32">
        <v>6</v>
      </c>
      <c r="D15" s="33" cm="1">
        <f t="array" ref="D15">Y27</f>
        <v>41.5</v>
      </c>
      <c r="E15" s="33">
        <v>2</v>
      </c>
      <c r="F15" s="32" cm="1">
        <f t="array" ref="F15">M40</f>
        <v>38.5</v>
      </c>
      <c r="G15" s="32">
        <v>2</v>
      </c>
      <c r="H15" s="32" cm="1">
        <f t="array" ref="H15">Y40</f>
        <v>-10.5</v>
      </c>
      <c r="I15" s="32">
        <v>1</v>
      </c>
      <c r="J15" s="32" cm="1">
        <f t="array" ref="J15">M53</f>
        <v>47.5</v>
      </c>
      <c r="K15" s="32">
        <v>3</v>
      </c>
      <c r="L15" s="32" cm="1">
        <f t="array" ref="L15">Y53</f>
        <v>-10.5</v>
      </c>
      <c r="M15" s="32">
        <v>1</v>
      </c>
      <c r="N15" s="34" cm="1">
        <f t="array" ref="N15">C15+E15+G15+I15+K15+M15</f>
        <v>15</v>
      </c>
      <c r="O15" s="31"/>
      <c r="P15" t="s" s="9">
        <v>55</v>
      </c>
      <c r="Q15" s="32">
        <v>6</v>
      </c>
      <c r="R15" s="10"/>
      <c r="S15" s="48"/>
      <c r="T15" t="s" s="9">
        <v>17</v>
      </c>
      <c r="U15" s="38">
        <v>6.5</v>
      </c>
      <c r="V15" t="s" s="36">
        <v>44</v>
      </c>
      <c r="W15" t="s" s="36">
        <v>44</v>
      </c>
      <c r="X15" t="s" s="36">
        <v>44</v>
      </c>
      <c r="Y15" t="s" s="36">
        <v>44</v>
      </c>
      <c r="Z15" t="s" s="36">
        <v>44</v>
      </c>
    </row>
    <row r="16" ht="13.55" customHeight="1">
      <c r="A16" t="s" s="9">
        <v>11</v>
      </c>
      <c r="B16" s="32" cm="1">
        <f t="array" ref="B16">M28</f>
        <v>36</v>
      </c>
      <c r="C16" s="32">
        <v>5</v>
      </c>
      <c r="D16" s="33" cm="1">
        <f t="array" ref="D16">Y28</f>
        <v>37</v>
      </c>
      <c r="E16" s="33">
        <v>5</v>
      </c>
      <c r="F16" s="32" cm="1">
        <f t="array" ref="F16">M41</f>
        <v>32</v>
      </c>
      <c r="G16" s="32">
        <v>4</v>
      </c>
      <c r="H16" s="32" cm="1">
        <f t="array" ref="H16">Y41</f>
        <v>35</v>
      </c>
      <c r="I16" s="32">
        <v>5</v>
      </c>
      <c r="J16" s="32" cm="1">
        <f t="array" ref="J16">M54</f>
        <v>34</v>
      </c>
      <c r="K16" s="32">
        <v>5.5</v>
      </c>
      <c r="L16" s="32" cm="1">
        <f t="array" ref="L16">Y54</f>
        <v>34</v>
      </c>
      <c r="M16" s="32">
        <v>2.5</v>
      </c>
      <c r="N16" s="34" cm="1">
        <f t="array" ref="N16">C16+E16+G16+I16+K16+M16</f>
        <v>27</v>
      </c>
      <c r="O16" s="31"/>
      <c r="P16" t="s" s="9">
        <v>56</v>
      </c>
      <c r="Q16" s="32">
        <v>5</v>
      </c>
      <c r="R16" s="10"/>
      <c r="S16" s="48"/>
      <c r="T16" t="s" s="9">
        <v>11</v>
      </c>
      <c r="U16" t="s" s="36">
        <v>44</v>
      </c>
      <c r="V16" t="s" s="36">
        <v>44</v>
      </c>
      <c r="W16" s="33">
        <v>10.7</v>
      </c>
      <c r="X16" t="s" s="36">
        <v>44</v>
      </c>
      <c r="Y16" t="s" s="36">
        <v>44</v>
      </c>
      <c r="Z16" s="38">
        <v>9.5</v>
      </c>
    </row>
    <row r="17" ht="13.55" customHeight="1">
      <c r="A17" t="s" s="9">
        <v>12</v>
      </c>
      <c r="B17" s="32" cm="1">
        <f t="array" ref="B17">M29</f>
        <v>40</v>
      </c>
      <c r="C17" s="32">
        <v>2</v>
      </c>
      <c r="D17" s="33" cm="1">
        <f t="array" ref="D17">Y29</f>
        <v>39</v>
      </c>
      <c r="E17" s="33">
        <v>4</v>
      </c>
      <c r="F17" s="32" cm="1">
        <f t="array" ref="F17">M42</f>
        <v>38</v>
      </c>
      <c r="G17" s="32">
        <v>3</v>
      </c>
      <c r="H17" s="32" cm="1">
        <f t="array" ref="H17">Y42</f>
        <v>38</v>
      </c>
      <c r="I17" s="32">
        <v>2</v>
      </c>
      <c r="J17" s="32" cm="1">
        <f t="array" ref="J17">M55</f>
        <v>34</v>
      </c>
      <c r="K17" s="32">
        <v>5.5</v>
      </c>
      <c r="L17" s="32" cm="1">
        <f t="array" ref="L17">Y55</f>
        <v>34</v>
      </c>
      <c r="M17" s="32">
        <v>2.5</v>
      </c>
      <c r="N17" s="34" cm="1">
        <f t="array" ref="N17">C17+E17+G17+I17+K17+M17</f>
        <v>19</v>
      </c>
      <c r="O17" s="31"/>
      <c r="P17" t="s" s="9">
        <v>57</v>
      </c>
      <c r="Q17" s="32">
        <v>4</v>
      </c>
      <c r="R17" s="10"/>
      <c r="S17" s="48"/>
      <c r="T17" t="s" s="9">
        <v>12</v>
      </c>
      <c r="U17" t="s" s="36">
        <v>44</v>
      </c>
      <c r="V17" t="s" s="36">
        <v>44</v>
      </c>
      <c r="W17" t="s" s="36">
        <v>44</v>
      </c>
      <c r="X17" t="s" s="36">
        <v>44</v>
      </c>
      <c r="Y17" t="s" s="36">
        <v>44</v>
      </c>
      <c r="Z17" t="s" s="36">
        <v>44</v>
      </c>
    </row>
    <row r="18" ht="13.55" customHeight="1">
      <c r="A18" t="s" s="9">
        <v>13</v>
      </c>
      <c r="B18" s="32" cm="1">
        <f t="array" ref="B18">M30</f>
        <v>31.5</v>
      </c>
      <c r="C18" s="32">
        <v>7</v>
      </c>
      <c r="D18" s="33" cm="1">
        <f t="array" ref="D18">Y30</f>
        <v>29.5</v>
      </c>
      <c r="E18" s="33">
        <v>8</v>
      </c>
      <c r="F18" s="32" cm="1">
        <f t="array" ref="F18">M43</f>
        <v>25.5</v>
      </c>
      <c r="G18" s="32">
        <v>8</v>
      </c>
      <c r="H18" s="32" cm="1">
        <f t="array" ref="H18">Y43</f>
        <v>28.5</v>
      </c>
      <c r="I18" s="32">
        <v>8</v>
      </c>
      <c r="J18" s="32" cm="1">
        <f t="array" ref="J18">M56</f>
        <v>-12.5</v>
      </c>
      <c r="K18" s="32">
        <v>1</v>
      </c>
      <c r="L18" s="32" cm="1">
        <f t="array" ref="L18">Y56</f>
        <v>28.5</v>
      </c>
      <c r="M18" s="32">
        <v>8</v>
      </c>
      <c r="N18" s="34" cm="1">
        <f t="array" ref="N18">C18+E18+G18+I18+K18+M18</f>
        <v>40</v>
      </c>
      <c r="O18" s="31"/>
      <c r="P18" t="s" s="9">
        <v>58</v>
      </c>
      <c r="Q18" s="32">
        <v>3</v>
      </c>
      <c r="R18" s="10"/>
      <c r="S18" s="48"/>
      <c r="T18" t="s" s="9">
        <v>13</v>
      </c>
      <c r="U18" t="s" s="36">
        <v>44</v>
      </c>
      <c r="V18" t="s" s="36">
        <v>44</v>
      </c>
      <c r="W18" s="40">
        <v>7.8</v>
      </c>
      <c r="X18" s="40">
        <v>20.6</v>
      </c>
      <c r="Y18" t="s" s="36">
        <v>44</v>
      </c>
      <c r="Z18" t="s" s="36">
        <v>44</v>
      </c>
    </row>
    <row r="19" ht="13.55" customHeight="1">
      <c r="A19" t="s" s="9">
        <v>14</v>
      </c>
      <c r="B19" s="32" cm="1">
        <f t="array" ref="B19">M31</f>
        <v>30</v>
      </c>
      <c r="C19" s="32">
        <v>8</v>
      </c>
      <c r="D19" s="33" cm="1">
        <f t="array" ref="D19">Y31</f>
        <v>33</v>
      </c>
      <c r="E19" s="33">
        <v>7</v>
      </c>
      <c r="F19" s="32" cm="1">
        <f t="array" ref="F19">M44</f>
        <v>30</v>
      </c>
      <c r="G19" s="32">
        <v>5</v>
      </c>
      <c r="H19" s="32" cm="1">
        <f t="array" ref="H19">Y44</f>
        <v>34</v>
      </c>
      <c r="I19" s="32">
        <v>7</v>
      </c>
      <c r="J19" s="32" cm="1">
        <f t="array" ref="J19">M57</f>
        <v>-12</v>
      </c>
      <c r="K19" s="32">
        <v>1</v>
      </c>
      <c r="L19" s="32" cm="1">
        <f t="array" ref="L19">Y57</f>
        <v>32</v>
      </c>
      <c r="M19" s="32">
        <v>5</v>
      </c>
      <c r="N19" s="34" cm="1">
        <f t="array" ref="N19">C19+E19+G19+I19+K19+M19</f>
        <v>33</v>
      </c>
      <c r="O19" s="31"/>
      <c r="P19" t="s" s="9">
        <v>59</v>
      </c>
      <c r="Q19" s="32">
        <v>2</v>
      </c>
      <c r="R19" s="10"/>
      <c r="S19" s="48"/>
      <c r="T19" t="s" s="9">
        <v>14</v>
      </c>
      <c r="U19" s="32">
        <v>17.9</v>
      </c>
      <c r="V19" t="s" s="36">
        <v>44</v>
      </c>
      <c r="W19" s="33">
        <v>11.7</v>
      </c>
      <c r="X19" t="s" s="36">
        <v>44</v>
      </c>
      <c r="Y19" t="s" s="36">
        <v>44</v>
      </c>
      <c r="Z19" t="s" s="36">
        <v>44</v>
      </c>
    </row>
    <row r="20" ht="13.55" customHeight="1">
      <c r="A20" t="s" s="9">
        <v>15</v>
      </c>
      <c r="B20" s="32" cm="1">
        <f t="array" ref="B20">M32</f>
        <v>36.5</v>
      </c>
      <c r="C20" s="32">
        <v>4</v>
      </c>
      <c r="D20" s="33" cm="1">
        <f t="array" ref="D20">Y32</f>
        <v>33.5</v>
      </c>
      <c r="E20" s="33">
        <v>6</v>
      </c>
      <c r="F20" s="32" cm="1">
        <f t="array" ref="F20">M45</f>
        <v>26.5</v>
      </c>
      <c r="G20" s="32">
        <v>7</v>
      </c>
      <c r="H20" s="32" cm="1">
        <f t="array" ref="H20">Y45</f>
        <v>37.5</v>
      </c>
      <c r="I20" s="32">
        <v>4</v>
      </c>
      <c r="J20" s="32" cm="1">
        <f t="array" ref="J20">M58</f>
        <v>30.5</v>
      </c>
      <c r="K20" s="32">
        <v>7</v>
      </c>
      <c r="L20" s="32" cm="1">
        <f t="array" ref="L20">Y58</f>
        <v>32.5</v>
      </c>
      <c r="M20" s="32">
        <v>4</v>
      </c>
      <c r="N20" s="34" cm="1">
        <f t="array" ref="N20">C20+E20+G20+I20+K20+M20</f>
        <v>32</v>
      </c>
      <c r="O20" s="31"/>
      <c r="P20" t="s" s="9">
        <v>60</v>
      </c>
      <c r="Q20" s="32">
        <v>1</v>
      </c>
      <c r="R20" s="10"/>
      <c r="S20" s="48"/>
      <c r="T20" t="s" s="9">
        <v>15</v>
      </c>
      <c r="U20" t="s" s="36">
        <v>44</v>
      </c>
      <c r="V20" t="s" s="36">
        <v>44</v>
      </c>
      <c r="W20" t="s" s="36">
        <v>44</v>
      </c>
      <c r="X20" t="s" s="36">
        <v>44</v>
      </c>
      <c r="Y20" t="s" s="41">
        <v>45</v>
      </c>
      <c r="Z20" t="s" s="36">
        <v>44</v>
      </c>
    </row>
    <row r="21" ht="13.55" customHeight="1">
      <c r="A21" t="s" s="9">
        <v>16</v>
      </c>
      <c r="B21" s="32" cm="1">
        <f t="array" ref="B21">M33</f>
        <v>-23</v>
      </c>
      <c r="C21" s="32">
        <v>1</v>
      </c>
      <c r="D21" s="33" cm="1">
        <f t="array" ref="D21">Y33</f>
        <v>39</v>
      </c>
      <c r="E21" s="33">
        <v>3</v>
      </c>
      <c r="F21" s="32" cm="1">
        <f t="array" ref="F21">M46</f>
        <v>29</v>
      </c>
      <c r="G21" s="32">
        <v>6</v>
      </c>
      <c r="H21" s="32" cm="1">
        <f t="array" ref="H21">Y46</f>
        <v>38</v>
      </c>
      <c r="I21" s="32">
        <v>3</v>
      </c>
      <c r="J21" s="32" cm="1">
        <f t="array" ref="J21">M59</f>
        <v>46</v>
      </c>
      <c r="K21" s="32">
        <v>4</v>
      </c>
      <c r="L21" s="32" cm="1">
        <f t="array" ref="L21">Y59</f>
        <v>31</v>
      </c>
      <c r="M21" s="32">
        <v>6</v>
      </c>
      <c r="N21" s="34" cm="1">
        <f t="array" ref="N21">C21+E21+G21+I21+K21+M21</f>
        <v>23</v>
      </c>
      <c r="O21" s="10"/>
      <c r="P21" s="14"/>
      <c r="Q21" s="14"/>
      <c r="R21" s="8"/>
      <c r="S21" s="48"/>
      <c r="T21" t="s" s="9">
        <v>16</v>
      </c>
      <c r="U21" t="s" s="36">
        <v>44</v>
      </c>
      <c r="V21" t="s" s="36">
        <v>44</v>
      </c>
      <c r="W21" t="s" s="36">
        <v>44</v>
      </c>
      <c r="X21" t="s" s="36">
        <v>44</v>
      </c>
      <c r="Y21" t="s" s="36">
        <v>44</v>
      </c>
      <c r="Z21" t="s" s="36">
        <v>44</v>
      </c>
    </row>
    <row r="22" ht="13.55" customHeight="1">
      <c r="A22" s="29"/>
      <c r="B22" s="29"/>
      <c r="C22" s="29"/>
      <c r="D22" s="29"/>
      <c r="E22" s="29"/>
      <c r="F22" s="29"/>
      <c r="G22" s="29"/>
      <c r="H22" s="29"/>
      <c r="I22" s="29"/>
      <c r="J22" s="29"/>
      <c r="K22" s="29"/>
      <c r="L22" s="29"/>
      <c r="M22" s="29"/>
      <c r="N22" s="29"/>
      <c r="O22" s="7"/>
      <c r="P22" s="7"/>
      <c r="Q22" s="7"/>
      <c r="R22" s="7"/>
      <c r="S22" s="7"/>
      <c r="T22" s="29"/>
      <c r="U22" s="29"/>
      <c r="V22" s="29"/>
      <c r="W22" s="29"/>
      <c r="X22" s="29"/>
      <c r="Y22" s="29"/>
      <c r="Z22" s="14"/>
    </row>
    <row r="23" ht="13.55" customHeight="1">
      <c r="A23" t="s" s="9">
        <v>61</v>
      </c>
      <c r="B23" s="35">
        <v>1</v>
      </c>
      <c r="C23" s="35">
        <v>2</v>
      </c>
      <c r="D23" s="35">
        <v>3</v>
      </c>
      <c r="E23" s="35">
        <v>4</v>
      </c>
      <c r="F23" s="35">
        <v>5</v>
      </c>
      <c r="G23" s="35">
        <v>6</v>
      </c>
      <c r="H23" s="49">
        <v>7</v>
      </c>
      <c r="I23" s="35">
        <v>8</v>
      </c>
      <c r="J23" s="35">
        <v>9</v>
      </c>
      <c r="K23" t="s" s="9">
        <v>9</v>
      </c>
      <c r="L23" t="s" s="9">
        <v>62</v>
      </c>
      <c r="M23" t="s" s="9">
        <v>63</v>
      </c>
      <c r="N23" s="35">
        <v>10</v>
      </c>
      <c r="O23" s="35">
        <v>11</v>
      </c>
      <c r="P23" s="35">
        <v>12</v>
      </c>
      <c r="Q23" s="35">
        <v>13</v>
      </c>
      <c r="R23" s="35">
        <v>14</v>
      </c>
      <c r="S23" s="49">
        <v>15</v>
      </c>
      <c r="T23" s="35">
        <v>16</v>
      </c>
      <c r="U23" s="35">
        <v>17</v>
      </c>
      <c r="V23" s="35">
        <v>18</v>
      </c>
      <c r="W23" t="s" s="9">
        <v>9</v>
      </c>
      <c r="X23" t="s" s="9">
        <v>62</v>
      </c>
      <c r="Y23" t="s" s="9">
        <v>63</v>
      </c>
      <c r="Z23" s="10"/>
    </row>
    <row r="24" ht="13.55" customHeight="1">
      <c r="A24" t="s" s="9">
        <v>64</v>
      </c>
      <c r="B24" s="35">
        <v>4</v>
      </c>
      <c r="C24" s="35">
        <v>4</v>
      </c>
      <c r="D24" s="35">
        <v>3</v>
      </c>
      <c r="E24" s="35">
        <v>5</v>
      </c>
      <c r="F24" s="35">
        <v>4</v>
      </c>
      <c r="G24" s="35">
        <v>4</v>
      </c>
      <c r="H24" s="49">
        <v>3</v>
      </c>
      <c r="I24" s="35">
        <v>5</v>
      </c>
      <c r="J24" s="35">
        <v>4</v>
      </c>
      <c r="K24" s="35" cm="1">
        <f t="array" ref="K24">SUM(B24:J24)</f>
        <v>36</v>
      </c>
      <c r="L24" s="50"/>
      <c r="M24" s="50"/>
      <c r="N24" s="35">
        <v>4</v>
      </c>
      <c r="O24" s="35">
        <v>5</v>
      </c>
      <c r="P24" s="35">
        <v>4</v>
      </c>
      <c r="Q24" s="35">
        <v>3</v>
      </c>
      <c r="R24" s="35">
        <v>4</v>
      </c>
      <c r="S24" s="49">
        <v>3</v>
      </c>
      <c r="T24" s="35">
        <v>4</v>
      </c>
      <c r="U24" s="35">
        <v>5</v>
      </c>
      <c r="V24" s="35">
        <v>4</v>
      </c>
      <c r="W24" s="35" cm="1">
        <f t="array" ref="W24">SUM(N24:V24)</f>
        <v>36</v>
      </c>
      <c r="X24" s="51"/>
      <c r="Y24" s="50"/>
      <c r="Z24" s="10"/>
    </row>
    <row r="25" ht="13.55" customHeight="1">
      <c r="A25" t="s" s="9">
        <v>6</v>
      </c>
      <c r="B25" s="52"/>
      <c r="C25" s="52"/>
      <c r="D25" s="52"/>
      <c r="E25" s="52"/>
      <c r="F25" s="52"/>
      <c r="G25" s="52"/>
      <c r="H25" s="52"/>
      <c r="I25" s="52"/>
      <c r="J25" s="52"/>
      <c r="K25" s="52"/>
      <c r="L25" s="52"/>
      <c r="M25" s="52"/>
      <c r="N25" s="52"/>
      <c r="O25" s="52"/>
      <c r="P25" s="52"/>
      <c r="Q25" s="52"/>
      <c r="R25" s="52"/>
      <c r="S25" s="52"/>
      <c r="T25" s="52"/>
      <c r="U25" s="52"/>
      <c r="V25" s="52"/>
      <c r="W25" s="52"/>
      <c r="X25" s="52"/>
      <c r="Y25" s="52"/>
      <c r="Z25" s="10"/>
    </row>
    <row r="26" ht="13.55" customHeight="1">
      <c r="A26" t="s" s="9">
        <v>10</v>
      </c>
      <c r="B26" s="32">
        <v>5</v>
      </c>
      <c r="C26" s="32">
        <v>7</v>
      </c>
      <c r="D26" s="32">
        <v>4</v>
      </c>
      <c r="E26" s="32">
        <v>8</v>
      </c>
      <c r="F26" s="32">
        <v>6</v>
      </c>
      <c r="G26" s="32">
        <v>7</v>
      </c>
      <c r="H26" s="38">
        <v>4</v>
      </c>
      <c r="I26" s="32">
        <v>12</v>
      </c>
      <c r="J26" s="32">
        <v>11</v>
      </c>
      <c r="K26" s="35" cm="1">
        <f t="array" ref="K26">SUM(B26:J26)</f>
        <v>64</v>
      </c>
      <c r="L26" s="35">
        <v>25.5</v>
      </c>
      <c r="M26" s="35" cm="1">
        <f t="array" ref="M26">K26-L26</f>
        <v>38.5</v>
      </c>
      <c r="N26" s="37"/>
      <c r="O26" s="37"/>
      <c r="P26" s="37"/>
      <c r="Q26" s="37"/>
      <c r="R26" s="37"/>
      <c r="S26" s="39"/>
      <c r="T26" s="37"/>
      <c r="U26" s="37"/>
      <c r="V26" s="37"/>
      <c r="W26" s="35" cm="1">
        <f t="array" ref="W26">SUM(N26:V26)</f>
        <v>0</v>
      </c>
      <c r="X26" s="35">
        <v>25.5</v>
      </c>
      <c r="Y26" s="35" cm="1">
        <f t="array" ref="Y26">W26-X26</f>
        <v>-25.5</v>
      </c>
      <c r="Z26" s="10"/>
    </row>
    <row r="27" ht="13.55" customHeight="1">
      <c r="A27" t="s" s="9">
        <v>17</v>
      </c>
      <c r="B27" s="32">
        <v>4</v>
      </c>
      <c r="C27" s="32">
        <v>4</v>
      </c>
      <c r="D27" s="32">
        <v>6</v>
      </c>
      <c r="E27" s="32">
        <v>6</v>
      </c>
      <c r="F27" s="32">
        <v>5</v>
      </c>
      <c r="G27" s="32">
        <v>5</v>
      </c>
      <c r="H27" s="38">
        <v>3</v>
      </c>
      <c r="I27" s="32">
        <v>6</v>
      </c>
      <c r="J27" s="32">
        <v>4</v>
      </c>
      <c r="K27" s="35" cm="1">
        <f t="array" ref="K27">SUM(B27:J27)</f>
        <v>43</v>
      </c>
      <c r="L27" s="35">
        <v>10.5</v>
      </c>
      <c r="M27" s="35" cm="1">
        <f t="array" ref="M27">K27-L27</f>
        <v>32.5</v>
      </c>
      <c r="N27" s="32">
        <v>6</v>
      </c>
      <c r="O27" s="32">
        <v>6</v>
      </c>
      <c r="P27" s="32">
        <v>6</v>
      </c>
      <c r="Q27" s="32">
        <v>5</v>
      </c>
      <c r="R27" s="32">
        <v>7</v>
      </c>
      <c r="S27" s="38">
        <v>5</v>
      </c>
      <c r="T27" s="32">
        <v>5</v>
      </c>
      <c r="U27" s="32">
        <v>6</v>
      </c>
      <c r="V27" s="32">
        <v>6</v>
      </c>
      <c r="W27" s="35" cm="1">
        <f t="array" ref="W27">SUM(N27:V27)</f>
        <v>52</v>
      </c>
      <c r="X27" s="35">
        <v>10.5</v>
      </c>
      <c r="Y27" s="35" cm="1">
        <f t="array" ref="Y27">W27-X27</f>
        <v>41.5</v>
      </c>
      <c r="Z27" s="10"/>
    </row>
    <row r="28" ht="13.55" customHeight="1">
      <c r="A28" t="s" s="9">
        <v>11</v>
      </c>
      <c r="B28" s="32">
        <v>5</v>
      </c>
      <c r="C28" s="32">
        <v>5</v>
      </c>
      <c r="D28" s="32">
        <v>4</v>
      </c>
      <c r="E28" s="32">
        <v>5</v>
      </c>
      <c r="F28" s="32">
        <v>4</v>
      </c>
      <c r="G28" s="32">
        <v>3</v>
      </c>
      <c r="H28" s="38">
        <v>4</v>
      </c>
      <c r="I28" s="32">
        <v>9</v>
      </c>
      <c r="J28" s="32">
        <v>4</v>
      </c>
      <c r="K28" s="35" cm="1">
        <f t="array" ref="K28">SUM(B28:J28)</f>
        <v>43</v>
      </c>
      <c r="L28" s="35">
        <v>7</v>
      </c>
      <c r="M28" s="35" cm="1">
        <f t="array" ref="M28">K28-L28</f>
        <v>36</v>
      </c>
      <c r="N28" s="32">
        <v>4</v>
      </c>
      <c r="O28" s="32">
        <v>7</v>
      </c>
      <c r="P28" s="32">
        <v>5</v>
      </c>
      <c r="Q28" s="32">
        <v>3</v>
      </c>
      <c r="R28" s="32">
        <v>5</v>
      </c>
      <c r="S28" s="38">
        <v>3</v>
      </c>
      <c r="T28" s="32">
        <v>6</v>
      </c>
      <c r="U28" s="32">
        <v>7</v>
      </c>
      <c r="V28" s="32">
        <v>4</v>
      </c>
      <c r="W28" s="35" cm="1">
        <f t="array" ref="W28">SUM(N28:V28)</f>
        <v>44</v>
      </c>
      <c r="X28" s="35">
        <v>7</v>
      </c>
      <c r="Y28" s="35" cm="1">
        <f t="array" ref="Y28">W28-X28</f>
        <v>37</v>
      </c>
      <c r="Z28" s="10"/>
    </row>
    <row r="29" ht="13.55" customHeight="1">
      <c r="A29" t="s" s="9">
        <v>12</v>
      </c>
      <c r="B29" s="32">
        <v>7</v>
      </c>
      <c r="C29" s="32">
        <v>5</v>
      </c>
      <c r="D29" s="32">
        <v>6</v>
      </c>
      <c r="E29" s="32">
        <v>9</v>
      </c>
      <c r="F29" s="32">
        <v>6</v>
      </c>
      <c r="G29" s="32">
        <v>8</v>
      </c>
      <c r="H29" s="38">
        <v>5</v>
      </c>
      <c r="I29" s="32">
        <v>10</v>
      </c>
      <c r="J29" s="32">
        <v>6</v>
      </c>
      <c r="K29" s="35" cm="1">
        <f t="array" ref="K29">SUM(B29:J29)</f>
        <v>62</v>
      </c>
      <c r="L29" s="35">
        <v>22</v>
      </c>
      <c r="M29" s="35" cm="1">
        <f t="array" ref="M29">K29-L29</f>
        <v>40</v>
      </c>
      <c r="N29" s="32">
        <v>6</v>
      </c>
      <c r="O29" s="32">
        <v>7</v>
      </c>
      <c r="P29" s="32">
        <v>6</v>
      </c>
      <c r="Q29" s="32">
        <v>5</v>
      </c>
      <c r="R29" s="32">
        <v>8</v>
      </c>
      <c r="S29" s="38">
        <v>8</v>
      </c>
      <c r="T29" s="32">
        <v>8</v>
      </c>
      <c r="U29" s="32">
        <v>7</v>
      </c>
      <c r="V29" s="32">
        <v>6</v>
      </c>
      <c r="W29" s="35" cm="1">
        <f t="array" ref="W29">SUM(N29:V29)</f>
        <v>61</v>
      </c>
      <c r="X29" s="35">
        <v>22</v>
      </c>
      <c r="Y29" s="35" cm="1">
        <f t="array" ref="Y29">W29-X29</f>
        <v>39</v>
      </c>
      <c r="Z29" s="10"/>
    </row>
    <row r="30" ht="13.55" customHeight="1">
      <c r="A30" t="s" s="9">
        <v>13</v>
      </c>
      <c r="B30" s="32">
        <v>5</v>
      </c>
      <c r="C30" s="32">
        <v>4</v>
      </c>
      <c r="D30" s="32">
        <v>3</v>
      </c>
      <c r="E30" s="32">
        <v>6</v>
      </c>
      <c r="F30" s="32">
        <v>3</v>
      </c>
      <c r="G30" s="32">
        <v>9</v>
      </c>
      <c r="H30" s="38">
        <v>4</v>
      </c>
      <c r="I30" s="32">
        <v>5</v>
      </c>
      <c r="J30" s="32">
        <v>5</v>
      </c>
      <c r="K30" s="35" cm="1">
        <f t="array" ref="K30">SUM(B30:J30)</f>
        <v>44</v>
      </c>
      <c r="L30" s="35">
        <v>12.5</v>
      </c>
      <c r="M30" s="35" cm="1">
        <f t="array" ref="M30">K30-L30</f>
        <v>31.5</v>
      </c>
      <c r="N30" s="32">
        <v>4</v>
      </c>
      <c r="O30" s="32">
        <v>6</v>
      </c>
      <c r="P30" s="32">
        <v>5</v>
      </c>
      <c r="Q30" s="32">
        <v>4</v>
      </c>
      <c r="R30" s="32">
        <v>5</v>
      </c>
      <c r="S30" s="38">
        <v>3</v>
      </c>
      <c r="T30" s="32">
        <v>4</v>
      </c>
      <c r="U30" s="32">
        <v>6</v>
      </c>
      <c r="V30" s="32">
        <v>5</v>
      </c>
      <c r="W30" s="35" cm="1">
        <f t="array" ref="W30">SUM(N30:V30)</f>
        <v>42</v>
      </c>
      <c r="X30" s="35">
        <v>12.5</v>
      </c>
      <c r="Y30" s="35" cm="1">
        <f t="array" ref="Y30">W30-X30</f>
        <v>29.5</v>
      </c>
      <c r="Z30" s="10"/>
    </row>
    <row r="31" ht="13.55" customHeight="1">
      <c r="A31" t="s" s="9">
        <v>14</v>
      </c>
      <c r="B31" s="32">
        <v>6</v>
      </c>
      <c r="C31" s="32">
        <v>5</v>
      </c>
      <c r="D31" s="32">
        <v>4</v>
      </c>
      <c r="E31" s="32">
        <v>5</v>
      </c>
      <c r="F31" s="32">
        <v>4</v>
      </c>
      <c r="G31" s="32">
        <v>5</v>
      </c>
      <c r="H31" s="38">
        <v>4</v>
      </c>
      <c r="I31" s="32">
        <v>5</v>
      </c>
      <c r="J31" s="32">
        <v>4</v>
      </c>
      <c r="K31" s="35" cm="1">
        <f t="array" ref="K31">SUM(B31:J31)</f>
        <v>42</v>
      </c>
      <c r="L31" s="35">
        <v>12</v>
      </c>
      <c r="M31" s="35" cm="1">
        <f t="array" ref="M31">K31-L31</f>
        <v>30</v>
      </c>
      <c r="N31" s="32">
        <v>4</v>
      </c>
      <c r="O31" s="32">
        <v>7</v>
      </c>
      <c r="P31" s="32">
        <v>5</v>
      </c>
      <c r="Q31" s="32">
        <v>3</v>
      </c>
      <c r="R31" s="32">
        <v>7</v>
      </c>
      <c r="S31" s="38">
        <v>4</v>
      </c>
      <c r="T31" s="32">
        <v>4</v>
      </c>
      <c r="U31" s="32">
        <v>6</v>
      </c>
      <c r="V31" s="32">
        <v>5</v>
      </c>
      <c r="W31" s="35" cm="1">
        <f t="array" ref="W31">SUM(N31:V31)</f>
        <v>45</v>
      </c>
      <c r="X31" s="35">
        <v>12</v>
      </c>
      <c r="Y31" s="35" cm="1">
        <f t="array" ref="Y31">W31-X31</f>
        <v>33</v>
      </c>
      <c r="Z31" s="10"/>
    </row>
    <row r="32" ht="13.55" customHeight="1">
      <c r="A32" t="s" s="9">
        <v>15</v>
      </c>
      <c r="B32" s="32">
        <v>5</v>
      </c>
      <c r="C32" s="32">
        <v>5</v>
      </c>
      <c r="D32" s="32">
        <v>5</v>
      </c>
      <c r="E32" s="32">
        <v>7</v>
      </c>
      <c r="F32" s="32">
        <v>5</v>
      </c>
      <c r="G32" s="32">
        <v>5</v>
      </c>
      <c r="H32" s="38">
        <v>5</v>
      </c>
      <c r="I32" s="32">
        <v>7</v>
      </c>
      <c r="J32" s="32">
        <v>5</v>
      </c>
      <c r="K32" s="35" cm="1">
        <f t="array" ref="K32">SUM(B32:J32)</f>
        <v>49</v>
      </c>
      <c r="L32" s="35">
        <v>12.5</v>
      </c>
      <c r="M32" s="35" cm="1">
        <f t="array" ref="M32">K32-L32</f>
        <v>36.5</v>
      </c>
      <c r="N32" s="32">
        <v>6</v>
      </c>
      <c r="O32" s="32">
        <v>5</v>
      </c>
      <c r="P32" s="32">
        <v>5</v>
      </c>
      <c r="Q32" s="32">
        <v>5</v>
      </c>
      <c r="R32" s="32">
        <v>6</v>
      </c>
      <c r="S32" s="38">
        <v>4</v>
      </c>
      <c r="T32" s="32">
        <v>4</v>
      </c>
      <c r="U32" s="32">
        <v>5</v>
      </c>
      <c r="V32" s="32">
        <v>6</v>
      </c>
      <c r="W32" s="35" cm="1">
        <f t="array" ref="W32">SUM(N32:V32)</f>
        <v>46</v>
      </c>
      <c r="X32" s="35">
        <v>12.5</v>
      </c>
      <c r="Y32" s="35" cm="1">
        <f t="array" ref="Y32">W32-X32</f>
        <v>33.5</v>
      </c>
      <c r="Z32" s="10"/>
    </row>
    <row r="33" ht="13.55" customHeight="1">
      <c r="A33" t="s" s="9">
        <v>16</v>
      </c>
      <c r="B33" s="37"/>
      <c r="C33" s="37"/>
      <c r="D33" s="37"/>
      <c r="E33" s="37"/>
      <c r="F33" s="37"/>
      <c r="G33" s="37"/>
      <c r="H33" s="39"/>
      <c r="I33" s="37"/>
      <c r="J33" s="37"/>
      <c r="K33" s="35" cm="1">
        <f t="array" ref="K33">SUM(B33:J33)</f>
        <v>0</v>
      </c>
      <c r="L33" s="35">
        <v>23</v>
      </c>
      <c r="M33" s="35" cm="1">
        <f t="array" ref="M33">K33-L33</f>
        <v>-23</v>
      </c>
      <c r="N33" s="32">
        <v>6</v>
      </c>
      <c r="O33" s="32">
        <v>8</v>
      </c>
      <c r="P33" s="32">
        <v>7</v>
      </c>
      <c r="Q33" s="32">
        <v>6</v>
      </c>
      <c r="R33" s="32">
        <v>8</v>
      </c>
      <c r="S33" s="38">
        <v>4</v>
      </c>
      <c r="T33" s="32">
        <v>8</v>
      </c>
      <c r="U33" s="32">
        <v>7</v>
      </c>
      <c r="V33" s="32">
        <v>8</v>
      </c>
      <c r="W33" s="35" cm="1">
        <f t="array" ref="W33">SUM(N33:V33)</f>
        <v>62</v>
      </c>
      <c r="X33" s="35">
        <v>23</v>
      </c>
      <c r="Y33" s="35" cm="1">
        <f t="array" ref="Y33">W33-X33</f>
        <v>39</v>
      </c>
      <c r="Z33" s="10"/>
    </row>
    <row r="34" ht="13.55" customHeight="1">
      <c r="A34" s="14"/>
      <c r="B34" s="14"/>
      <c r="C34" s="53"/>
      <c r="D34" t="s" s="9">
        <v>65</v>
      </c>
      <c r="E34" s="54"/>
      <c r="F34" s="14"/>
      <c r="G34" s="53"/>
      <c r="H34" t="s" s="55">
        <v>66</v>
      </c>
      <c r="I34" s="54"/>
      <c r="J34" s="14"/>
      <c r="K34" s="14"/>
      <c r="L34" s="14"/>
      <c r="M34" s="14"/>
      <c r="N34" s="14"/>
      <c r="O34" s="14"/>
      <c r="P34" s="53"/>
      <c r="Q34" t="s" s="9">
        <v>67</v>
      </c>
      <c r="R34" s="56"/>
      <c r="S34" t="s" s="55">
        <v>68</v>
      </c>
      <c r="T34" s="54"/>
      <c r="U34" s="14"/>
      <c r="V34" s="14"/>
      <c r="W34" s="14"/>
      <c r="X34" s="14"/>
      <c r="Y34" s="14"/>
      <c r="Z34" s="8"/>
    </row>
    <row r="35" ht="13.55" customHeight="1">
      <c r="A35" s="7"/>
      <c r="B35" s="7"/>
      <c r="C35" s="7"/>
      <c r="D35" s="29"/>
      <c r="E35" s="7"/>
      <c r="F35" s="7"/>
      <c r="G35" s="7"/>
      <c r="H35" s="29"/>
      <c r="I35" s="7"/>
      <c r="J35" s="7"/>
      <c r="K35" s="7"/>
      <c r="L35" s="7"/>
      <c r="M35" s="7"/>
      <c r="N35" s="7"/>
      <c r="O35" s="7"/>
      <c r="P35" s="7"/>
      <c r="Q35" s="29"/>
      <c r="R35" s="7"/>
      <c r="S35" s="29"/>
      <c r="T35" s="7"/>
      <c r="U35" s="7"/>
      <c r="V35" s="7"/>
      <c r="W35" s="7"/>
      <c r="X35" s="7"/>
      <c r="Y35" s="7"/>
      <c r="Z35" s="8"/>
    </row>
    <row r="36" ht="13.55" customHeight="1">
      <c r="A36" t="s" s="9">
        <v>69</v>
      </c>
      <c r="B36" s="35">
        <v>1</v>
      </c>
      <c r="C36" s="35">
        <v>2</v>
      </c>
      <c r="D36" s="35">
        <v>3</v>
      </c>
      <c r="E36" s="49">
        <v>4</v>
      </c>
      <c r="F36" s="35">
        <v>5</v>
      </c>
      <c r="G36" s="35">
        <v>6</v>
      </c>
      <c r="H36" s="35">
        <v>7</v>
      </c>
      <c r="I36" s="35">
        <v>8</v>
      </c>
      <c r="J36" s="35">
        <v>9</v>
      </c>
      <c r="K36" t="s" s="9">
        <v>9</v>
      </c>
      <c r="L36" t="s" s="9">
        <v>62</v>
      </c>
      <c r="M36" t="s" s="9">
        <v>63</v>
      </c>
      <c r="N36" s="35">
        <v>10</v>
      </c>
      <c r="O36" s="35">
        <v>11</v>
      </c>
      <c r="P36" s="35">
        <v>12</v>
      </c>
      <c r="Q36" s="35">
        <v>13</v>
      </c>
      <c r="R36" s="35">
        <v>14</v>
      </c>
      <c r="S36" s="35">
        <v>15</v>
      </c>
      <c r="T36" s="49">
        <v>16</v>
      </c>
      <c r="U36" s="35">
        <v>17</v>
      </c>
      <c r="V36" s="35">
        <v>18</v>
      </c>
      <c r="W36" t="s" s="9">
        <v>9</v>
      </c>
      <c r="X36" t="s" s="9">
        <v>62</v>
      </c>
      <c r="Y36" t="s" s="9">
        <v>63</v>
      </c>
      <c r="Z36" s="10"/>
    </row>
    <row r="37" ht="13.55" customHeight="1">
      <c r="A37" t="s" s="9">
        <v>64</v>
      </c>
      <c r="B37" s="35">
        <v>4</v>
      </c>
      <c r="C37" s="35">
        <v>4</v>
      </c>
      <c r="D37" s="35">
        <v>5</v>
      </c>
      <c r="E37" s="49">
        <v>3</v>
      </c>
      <c r="F37" s="35">
        <v>4</v>
      </c>
      <c r="G37" s="35">
        <v>4</v>
      </c>
      <c r="H37" s="35">
        <v>3</v>
      </c>
      <c r="I37" s="35">
        <v>4</v>
      </c>
      <c r="J37" s="35">
        <v>4</v>
      </c>
      <c r="K37" s="35" cm="1">
        <f t="array" ref="K37">SUM(B37:J37)</f>
        <v>35</v>
      </c>
      <c r="L37" s="50"/>
      <c r="M37" s="50"/>
      <c r="N37" s="35">
        <v>4</v>
      </c>
      <c r="O37" s="35">
        <v>4</v>
      </c>
      <c r="P37" s="35">
        <v>3</v>
      </c>
      <c r="Q37" s="35">
        <v>5</v>
      </c>
      <c r="R37" s="35">
        <v>4</v>
      </c>
      <c r="S37" s="35">
        <v>5</v>
      </c>
      <c r="T37" s="49">
        <v>3</v>
      </c>
      <c r="U37" s="35">
        <v>4</v>
      </c>
      <c r="V37" s="35">
        <v>4</v>
      </c>
      <c r="W37" s="35" cm="1">
        <f t="array" ref="W37">SUM(N37:V37)</f>
        <v>36</v>
      </c>
      <c r="X37" s="51"/>
      <c r="Y37" s="50"/>
      <c r="Z37" s="10"/>
    </row>
    <row r="38" ht="13.55" customHeight="1">
      <c r="A38" t="s" s="9">
        <v>6</v>
      </c>
      <c r="B38" s="52"/>
      <c r="C38" s="52"/>
      <c r="D38" s="52"/>
      <c r="E38" s="52"/>
      <c r="F38" s="52"/>
      <c r="G38" s="52"/>
      <c r="H38" s="52"/>
      <c r="I38" s="52"/>
      <c r="J38" s="52"/>
      <c r="K38" s="52"/>
      <c r="L38" s="52"/>
      <c r="M38" s="52"/>
      <c r="N38" s="52"/>
      <c r="O38" s="52"/>
      <c r="P38" s="52"/>
      <c r="Q38" s="52"/>
      <c r="R38" s="52"/>
      <c r="S38" s="52"/>
      <c r="T38" s="52"/>
      <c r="U38" s="52"/>
      <c r="V38" s="52"/>
      <c r="W38" s="52"/>
      <c r="X38" s="52"/>
      <c r="Y38" s="52"/>
      <c r="Z38" s="10"/>
    </row>
    <row r="39" ht="13.55" customHeight="1">
      <c r="A39" t="s" s="9">
        <v>10</v>
      </c>
      <c r="B39" s="37"/>
      <c r="C39" s="37"/>
      <c r="D39" s="37"/>
      <c r="E39" s="39"/>
      <c r="F39" s="37"/>
      <c r="G39" s="37"/>
      <c r="H39" s="37"/>
      <c r="I39" s="37"/>
      <c r="J39" s="37"/>
      <c r="K39" s="35" cm="1">
        <f t="array" ref="K39">SUM(B39:J39)</f>
        <v>0</v>
      </c>
      <c r="L39" s="35">
        <v>25.5</v>
      </c>
      <c r="M39" s="35" cm="1">
        <f t="array" ref="M39">K39-L39</f>
        <v>-25.5</v>
      </c>
      <c r="N39" s="32">
        <v>5</v>
      </c>
      <c r="O39" s="32">
        <v>6</v>
      </c>
      <c r="P39" s="32">
        <v>5</v>
      </c>
      <c r="Q39" s="32">
        <v>8</v>
      </c>
      <c r="R39" s="32">
        <v>9</v>
      </c>
      <c r="S39" s="32">
        <v>9</v>
      </c>
      <c r="T39" s="38">
        <v>3</v>
      </c>
      <c r="U39" s="32">
        <v>5</v>
      </c>
      <c r="V39" s="32">
        <v>10</v>
      </c>
      <c r="W39" s="35" cm="1">
        <f t="array" ref="W39">SUM(N39:V39)</f>
        <v>60</v>
      </c>
      <c r="X39" s="35">
        <v>25.5</v>
      </c>
      <c r="Y39" s="35" cm="1">
        <f t="array" ref="Y39">W39-X39</f>
        <v>34.5</v>
      </c>
      <c r="Z39" s="10"/>
    </row>
    <row r="40" ht="13.55" customHeight="1">
      <c r="A40" t="s" s="9">
        <v>17</v>
      </c>
      <c r="B40" s="32">
        <v>5</v>
      </c>
      <c r="C40" s="32">
        <v>6</v>
      </c>
      <c r="D40" s="32">
        <v>7</v>
      </c>
      <c r="E40" s="38">
        <v>6</v>
      </c>
      <c r="F40" s="32">
        <v>4</v>
      </c>
      <c r="G40" s="32">
        <v>6</v>
      </c>
      <c r="H40" s="32">
        <v>5</v>
      </c>
      <c r="I40" s="32">
        <v>5</v>
      </c>
      <c r="J40" s="32">
        <v>5</v>
      </c>
      <c r="K40" s="35" cm="1">
        <f t="array" ref="K40">SUM(B40:J40)</f>
        <v>49</v>
      </c>
      <c r="L40" s="35">
        <v>10.5</v>
      </c>
      <c r="M40" s="35" cm="1">
        <f t="array" ref="M40">K40-L40</f>
        <v>38.5</v>
      </c>
      <c r="N40" s="37"/>
      <c r="O40" s="37"/>
      <c r="P40" s="37"/>
      <c r="Q40" s="37"/>
      <c r="R40" s="37"/>
      <c r="S40" s="37"/>
      <c r="T40" s="39"/>
      <c r="U40" s="37"/>
      <c r="V40" s="37"/>
      <c r="W40" s="35" cm="1">
        <f t="array" ref="W40">SUM(N40:V40)</f>
        <v>0</v>
      </c>
      <c r="X40" s="35">
        <v>10.5</v>
      </c>
      <c r="Y40" s="35" cm="1">
        <f t="array" ref="Y40">W40-X40</f>
        <v>-10.5</v>
      </c>
      <c r="Z40" s="10"/>
    </row>
    <row r="41" ht="13.55" customHeight="1">
      <c r="A41" t="s" s="9">
        <v>11</v>
      </c>
      <c r="B41" s="32">
        <v>5</v>
      </c>
      <c r="C41" s="32">
        <v>5</v>
      </c>
      <c r="D41" s="32">
        <v>6</v>
      </c>
      <c r="E41" s="38">
        <v>3</v>
      </c>
      <c r="F41" s="32">
        <v>4</v>
      </c>
      <c r="G41" s="32">
        <v>4</v>
      </c>
      <c r="H41" s="32">
        <v>3</v>
      </c>
      <c r="I41" s="32">
        <v>4</v>
      </c>
      <c r="J41" s="32">
        <v>5</v>
      </c>
      <c r="K41" s="35" cm="1">
        <f t="array" ref="K41">SUM(B41:J41)</f>
        <v>39</v>
      </c>
      <c r="L41" s="35">
        <v>7</v>
      </c>
      <c r="M41" s="35" cm="1">
        <f t="array" ref="M41">K41-L41</f>
        <v>32</v>
      </c>
      <c r="N41" s="32">
        <v>4</v>
      </c>
      <c r="O41" s="32">
        <v>5</v>
      </c>
      <c r="P41" s="32">
        <v>3</v>
      </c>
      <c r="Q41" s="32">
        <v>5</v>
      </c>
      <c r="R41" s="32">
        <v>6</v>
      </c>
      <c r="S41" s="32">
        <v>5</v>
      </c>
      <c r="T41" s="38">
        <v>4</v>
      </c>
      <c r="U41" s="32">
        <v>6</v>
      </c>
      <c r="V41" s="32">
        <v>4</v>
      </c>
      <c r="W41" s="35" cm="1">
        <f t="array" ref="W41">SUM(N41:V41)</f>
        <v>42</v>
      </c>
      <c r="X41" s="35">
        <v>7</v>
      </c>
      <c r="Y41" s="35" cm="1">
        <f t="array" ref="Y41">W41-X41</f>
        <v>35</v>
      </c>
      <c r="Z41" s="10"/>
    </row>
    <row r="42" ht="13.55" customHeight="1">
      <c r="A42" t="s" s="9">
        <v>12</v>
      </c>
      <c r="B42" s="32">
        <v>10</v>
      </c>
      <c r="C42" s="32">
        <v>5</v>
      </c>
      <c r="D42" s="32">
        <v>8</v>
      </c>
      <c r="E42" s="38">
        <v>5</v>
      </c>
      <c r="F42" s="32">
        <v>7</v>
      </c>
      <c r="G42" s="32">
        <v>6</v>
      </c>
      <c r="H42" s="32">
        <v>4</v>
      </c>
      <c r="I42" s="32">
        <v>6</v>
      </c>
      <c r="J42" s="32">
        <v>9</v>
      </c>
      <c r="K42" s="35" cm="1">
        <f t="array" ref="K42">SUM(B42:J42)</f>
        <v>60</v>
      </c>
      <c r="L42" s="35">
        <v>22</v>
      </c>
      <c r="M42" s="35" cm="1">
        <f t="array" ref="M42">K42-L42</f>
        <v>38</v>
      </c>
      <c r="N42" s="32">
        <v>5</v>
      </c>
      <c r="O42" s="32">
        <v>7</v>
      </c>
      <c r="P42" s="32">
        <v>3</v>
      </c>
      <c r="Q42" s="32">
        <v>7</v>
      </c>
      <c r="R42" s="32">
        <v>9</v>
      </c>
      <c r="S42" s="32">
        <v>8</v>
      </c>
      <c r="T42" s="38">
        <v>5</v>
      </c>
      <c r="U42" s="32">
        <v>10</v>
      </c>
      <c r="V42" s="32">
        <v>6</v>
      </c>
      <c r="W42" s="35" cm="1">
        <f t="array" ref="W42">SUM(N42:V42)</f>
        <v>60</v>
      </c>
      <c r="X42" s="35">
        <v>22</v>
      </c>
      <c r="Y42" s="35" cm="1">
        <f t="array" ref="Y42">W42-X42</f>
        <v>38</v>
      </c>
      <c r="Z42" s="10"/>
    </row>
    <row r="43" ht="13.55" customHeight="1">
      <c r="A43" t="s" s="9">
        <v>13</v>
      </c>
      <c r="B43" s="32">
        <v>4</v>
      </c>
      <c r="C43" s="32">
        <v>5</v>
      </c>
      <c r="D43" s="32">
        <v>6</v>
      </c>
      <c r="E43" s="38">
        <v>3</v>
      </c>
      <c r="F43" s="32">
        <v>5</v>
      </c>
      <c r="G43" s="32">
        <v>4</v>
      </c>
      <c r="H43" s="32">
        <v>3</v>
      </c>
      <c r="I43" s="32">
        <v>3</v>
      </c>
      <c r="J43" s="32">
        <v>5</v>
      </c>
      <c r="K43" s="35" cm="1">
        <f t="array" ref="K43">SUM(B43:J43)</f>
        <v>38</v>
      </c>
      <c r="L43" s="35">
        <v>12.5</v>
      </c>
      <c r="M43" s="35" cm="1">
        <f t="array" ref="M43">K43-L43</f>
        <v>25.5</v>
      </c>
      <c r="N43" s="32">
        <v>4</v>
      </c>
      <c r="O43" s="32">
        <v>6</v>
      </c>
      <c r="P43" s="32">
        <v>4</v>
      </c>
      <c r="Q43" s="32">
        <v>5</v>
      </c>
      <c r="R43" s="32">
        <v>6</v>
      </c>
      <c r="S43" s="32">
        <v>4</v>
      </c>
      <c r="T43" s="38">
        <v>4</v>
      </c>
      <c r="U43" s="32">
        <v>4</v>
      </c>
      <c r="V43" s="32">
        <v>4</v>
      </c>
      <c r="W43" s="35" cm="1">
        <f t="array" ref="W43">SUM(N43:V43)</f>
        <v>41</v>
      </c>
      <c r="X43" s="35">
        <v>12.5</v>
      </c>
      <c r="Y43" s="35" cm="1">
        <f t="array" ref="Y43">W43-X43</f>
        <v>28.5</v>
      </c>
      <c r="Z43" s="10"/>
    </row>
    <row r="44" ht="13.55" customHeight="1">
      <c r="A44" t="s" s="9">
        <v>14</v>
      </c>
      <c r="B44" s="32">
        <v>7</v>
      </c>
      <c r="C44" s="32">
        <v>5</v>
      </c>
      <c r="D44" s="32">
        <v>5</v>
      </c>
      <c r="E44" s="38">
        <v>3</v>
      </c>
      <c r="F44" s="32">
        <v>4</v>
      </c>
      <c r="G44" s="32">
        <v>4</v>
      </c>
      <c r="H44" s="32">
        <v>4</v>
      </c>
      <c r="I44" s="32">
        <v>5</v>
      </c>
      <c r="J44" s="32">
        <v>5</v>
      </c>
      <c r="K44" s="35" cm="1">
        <f t="array" ref="K44">SUM(B44:J44)</f>
        <v>42</v>
      </c>
      <c r="L44" s="35">
        <v>12</v>
      </c>
      <c r="M44" s="35" cm="1">
        <f t="array" ref="M44">K44-L44</f>
        <v>30</v>
      </c>
      <c r="N44" s="32">
        <v>5</v>
      </c>
      <c r="O44" s="32">
        <v>5</v>
      </c>
      <c r="P44" s="32">
        <v>5</v>
      </c>
      <c r="Q44" s="32">
        <v>5</v>
      </c>
      <c r="R44" s="32">
        <v>5</v>
      </c>
      <c r="S44" s="32">
        <v>6</v>
      </c>
      <c r="T44" s="38">
        <v>3</v>
      </c>
      <c r="U44" s="32">
        <v>4</v>
      </c>
      <c r="V44" s="32">
        <v>8</v>
      </c>
      <c r="W44" s="35" cm="1">
        <f t="array" ref="W44">SUM(N44:V44)</f>
        <v>46</v>
      </c>
      <c r="X44" s="35">
        <v>12</v>
      </c>
      <c r="Y44" s="35" cm="1">
        <f t="array" ref="Y44">W44-X44</f>
        <v>34</v>
      </c>
      <c r="Z44" s="10"/>
    </row>
    <row r="45" ht="13.55" customHeight="1">
      <c r="A45" t="s" s="9">
        <v>15</v>
      </c>
      <c r="B45" s="32">
        <v>4</v>
      </c>
      <c r="C45" s="32">
        <v>4</v>
      </c>
      <c r="D45" s="32">
        <v>6</v>
      </c>
      <c r="E45" s="38">
        <v>4</v>
      </c>
      <c r="F45" s="32">
        <v>4</v>
      </c>
      <c r="G45" s="32">
        <v>4</v>
      </c>
      <c r="H45" s="32">
        <v>3</v>
      </c>
      <c r="I45" s="32">
        <v>5</v>
      </c>
      <c r="J45" s="32">
        <v>5</v>
      </c>
      <c r="K45" s="35" cm="1">
        <f t="array" ref="K45">SUM(B45:J45)</f>
        <v>39</v>
      </c>
      <c r="L45" s="35">
        <v>12.5</v>
      </c>
      <c r="M45" s="35" cm="1">
        <f t="array" ref="M45">K45-L45</f>
        <v>26.5</v>
      </c>
      <c r="N45" s="32">
        <v>5</v>
      </c>
      <c r="O45" s="32">
        <v>5</v>
      </c>
      <c r="P45" s="32">
        <v>6</v>
      </c>
      <c r="Q45" s="32">
        <v>5</v>
      </c>
      <c r="R45" s="32">
        <v>5</v>
      </c>
      <c r="S45" s="32">
        <v>8</v>
      </c>
      <c r="T45" s="38">
        <v>5</v>
      </c>
      <c r="U45" s="32">
        <v>5</v>
      </c>
      <c r="V45" s="32">
        <v>6</v>
      </c>
      <c r="W45" s="35" cm="1">
        <f t="array" ref="W45">SUM(N45:V45)</f>
        <v>50</v>
      </c>
      <c r="X45" s="35">
        <v>12.5</v>
      </c>
      <c r="Y45" s="35" cm="1">
        <f t="array" ref="Y45">W45-X45</f>
        <v>37.5</v>
      </c>
      <c r="Z45" s="10"/>
    </row>
    <row r="46" ht="13.55" customHeight="1">
      <c r="A46" t="s" s="9">
        <v>16</v>
      </c>
      <c r="B46" s="32">
        <v>8</v>
      </c>
      <c r="C46" s="32">
        <v>5</v>
      </c>
      <c r="D46" s="32">
        <v>8</v>
      </c>
      <c r="E46" s="38">
        <v>4</v>
      </c>
      <c r="F46" s="32">
        <v>6</v>
      </c>
      <c r="G46" s="32">
        <v>4</v>
      </c>
      <c r="H46" s="32">
        <v>3</v>
      </c>
      <c r="I46" s="32">
        <v>7</v>
      </c>
      <c r="J46" s="32">
        <v>7</v>
      </c>
      <c r="K46" s="35" cm="1">
        <f t="array" ref="K46">SUM(B46:J46)</f>
        <v>52</v>
      </c>
      <c r="L46" s="35">
        <v>23</v>
      </c>
      <c r="M46" s="35" cm="1">
        <f t="array" ref="M46">K46-L46</f>
        <v>29</v>
      </c>
      <c r="N46" s="32">
        <v>6</v>
      </c>
      <c r="O46" s="32">
        <v>6</v>
      </c>
      <c r="P46" s="32">
        <v>4</v>
      </c>
      <c r="Q46" s="32">
        <v>9</v>
      </c>
      <c r="R46" s="32">
        <v>7</v>
      </c>
      <c r="S46" s="32">
        <v>10</v>
      </c>
      <c r="T46" s="38">
        <v>5</v>
      </c>
      <c r="U46" s="32">
        <v>8</v>
      </c>
      <c r="V46" s="32">
        <v>6</v>
      </c>
      <c r="W46" s="35" cm="1">
        <f t="array" ref="W46">SUM(N46:V46)</f>
        <v>61</v>
      </c>
      <c r="X46" s="35">
        <v>23</v>
      </c>
      <c r="Y46" s="35" cm="1">
        <f t="array" ref="Y46">W46-X46</f>
        <v>38</v>
      </c>
      <c r="Z46" s="10"/>
    </row>
    <row r="47" ht="13.55" customHeight="1">
      <c r="A47" s="14"/>
      <c r="B47" s="14"/>
      <c r="C47" s="14"/>
      <c r="D47" s="53"/>
      <c r="E47" t="s" s="55">
        <v>70</v>
      </c>
      <c r="F47" s="54"/>
      <c r="G47" s="14"/>
      <c r="H47" s="14"/>
      <c r="I47" s="14"/>
      <c r="J47" s="14"/>
      <c r="K47" s="14"/>
      <c r="L47" s="14"/>
      <c r="M47" s="14"/>
      <c r="N47" s="14"/>
      <c r="O47" s="14"/>
      <c r="P47" s="14"/>
      <c r="Q47" s="14"/>
      <c r="R47" s="14"/>
      <c r="S47" s="53"/>
      <c r="T47" t="s" s="55">
        <v>71</v>
      </c>
      <c r="U47" s="54"/>
      <c r="V47" s="14"/>
      <c r="W47" s="14"/>
      <c r="X47" s="14"/>
      <c r="Y47" s="14"/>
      <c r="Z47" s="8"/>
    </row>
    <row r="48" ht="13.55" customHeight="1">
      <c r="A48" s="7"/>
      <c r="B48" s="7"/>
      <c r="C48" s="7"/>
      <c r="D48" s="7"/>
      <c r="E48" s="29"/>
      <c r="F48" s="7"/>
      <c r="G48" s="7"/>
      <c r="H48" s="7"/>
      <c r="I48" s="7"/>
      <c r="J48" s="7"/>
      <c r="K48" s="7"/>
      <c r="L48" s="7"/>
      <c r="M48" s="7"/>
      <c r="N48" s="7"/>
      <c r="O48" s="7"/>
      <c r="P48" s="7"/>
      <c r="Q48" s="7"/>
      <c r="R48" s="7"/>
      <c r="S48" s="7"/>
      <c r="T48" s="29"/>
      <c r="U48" s="7"/>
      <c r="V48" s="7"/>
      <c r="W48" s="7"/>
      <c r="X48" s="7"/>
      <c r="Y48" s="7"/>
      <c r="Z48" s="8"/>
    </row>
    <row r="49" ht="13.55" customHeight="1">
      <c r="A49" t="s" s="9">
        <v>72</v>
      </c>
      <c r="B49" s="35">
        <v>1</v>
      </c>
      <c r="C49" s="35">
        <v>2</v>
      </c>
      <c r="D49" s="35">
        <v>3</v>
      </c>
      <c r="E49" s="35">
        <v>4</v>
      </c>
      <c r="F49" s="49">
        <v>5</v>
      </c>
      <c r="G49" s="35">
        <v>6</v>
      </c>
      <c r="H49" s="35">
        <v>7</v>
      </c>
      <c r="I49" s="35">
        <v>8</v>
      </c>
      <c r="J49" s="35">
        <v>9</v>
      </c>
      <c r="K49" t="s" s="9">
        <v>9</v>
      </c>
      <c r="L49" t="s" s="9">
        <v>62</v>
      </c>
      <c r="M49" t="s" s="9">
        <v>63</v>
      </c>
      <c r="N49" s="35">
        <v>10</v>
      </c>
      <c r="O49" s="35">
        <v>11</v>
      </c>
      <c r="P49" s="49">
        <v>12</v>
      </c>
      <c r="Q49" s="35">
        <v>13</v>
      </c>
      <c r="R49" s="35">
        <v>14</v>
      </c>
      <c r="S49" s="35">
        <v>15</v>
      </c>
      <c r="T49" s="35">
        <v>16</v>
      </c>
      <c r="U49" s="35">
        <v>17</v>
      </c>
      <c r="V49" s="35">
        <v>18</v>
      </c>
      <c r="W49" t="s" s="9">
        <v>9</v>
      </c>
      <c r="X49" t="s" s="9">
        <v>62</v>
      </c>
      <c r="Y49" t="s" s="9">
        <v>63</v>
      </c>
      <c r="Z49" s="10"/>
    </row>
    <row r="50" ht="13.55" customHeight="1">
      <c r="A50" t="s" s="9">
        <v>64</v>
      </c>
      <c r="B50" s="35">
        <v>4</v>
      </c>
      <c r="C50" s="35">
        <v>3</v>
      </c>
      <c r="D50" s="35">
        <v>5</v>
      </c>
      <c r="E50" s="35">
        <v>4</v>
      </c>
      <c r="F50" s="49">
        <v>3</v>
      </c>
      <c r="G50" s="35">
        <v>4</v>
      </c>
      <c r="H50" s="35">
        <v>3</v>
      </c>
      <c r="I50" s="35">
        <v>5</v>
      </c>
      <c r="J50" s="35">
        <v>4</v>
      </c>
      <c r="K50" s="35" cm="1">
        <f t="array" ref="K50">SUM(B50:J50)</f>
        <v>35</v>
      </c>
      <c r="L50" s="50"/>
      <c r="M50" s="50"/>
      <c r="N50" s="35">
        <v>3</v>
      </c>
      <c r="O50" s="35">
        <v>5</v>
      </c>
      <c r="P50" s="49">
        <v>3</v>
      </c>
      <c r="Q50" s="35">
        <v>5</v>
      </c>
      <c r="R50" s="35">
        <v>4</v>
      </c>
      <c r="S50" s="35">
        <v>4</v>
      </c>
      <c r="T50" s="35">
        <v>4</v>
      </c>
      <c r="U50" s="35">
        <v>4</v>
      </c>
      <c r="V50" s="35">
        <v>3</v>
      </c>
      <c r="W50" s="35" cm="1">
        <f t="array" ref="W50">SUM(N50:V50)</f>
        <v>35</v>
      </c>
      <c r="X50" s="51"/>
      <c r="Y50" s="50"/>
      <c r="Z50" s="10"/>
    </row>
    <row r="51" ht="13.55" customHeight="1">
      <c r="A51" t="s" s="9">
        <v>6</v>
      </c>
      <c r="B51" s="52"/>
      <c r="C51" s="52"/>
      <c r="D51" s="52"/>
      <c r="E51" s="52"/>
      <c r="F51" s="52"/>
      <c r="G51" s="52"/>
      <c r="H51" s="52"/>
      <c r="I51" s="52"/>
      <c r="J51" s="52"/>
      <c r="K51" s="52"/>
      <c r="L51" s="52"/>
      <c r="M51" s="52"/>
      <c r="N51" s="52"/>
      <c r="O51" s="52"/>
      <c r="P51" s="52"/>
      <c r="Q51" s="52"/>
      <c r="R51" s="52"/>
      <c r="S51" s="52"/>
      <c r="T51" s="52"/>
      <c r="U51" s="52"/>
      <c r="V51" s="52"/>
      <c r="W51" s="52"/>
      <c r="X51" s="52"/>
      <c r="Y51" s="52"/>
      <c r="Z51" s="10"/>
    </row>
    <row r="52" ht="13.55" customHeight="1">
      <c r="A52" t="s" s="9">
        <v>10</v>
      </c>
      <c r="B52" s="32">
        <v>5</v>
      </c>
      <c r="C52" s="32">
        <v>5</v>
      </c>
      <c r="D52" s="32">
        <v>8</v>
      </c>
      <c r="E52" s="32">
        <v>5</v>
      </c>
      <c r="F52" s="38">
        <v>4</v>
      </c>
      <c r="G52" s="32">
        <v>5</v>
      </c>
      <c r="H52" s="32">
        <v>4</v>
      </c>
      <c r="I52" s="32">
        <v>9</v>
      </c>
      <c r="J52" s="32">
        <v>8</v>
      </c>
      <c r="K52" s="35" cm="1">
        <f t="array" ref="K52">SUM(B52:J52)</f>
        <v>53</v>
      </c>
      <c r="L52" s="35">
        <v>25.5</v>
      </c>
      <c r="M52" s="35" cm="1">
        <f t="array" ref="M52">K52-L52</f>
        <v>27.5</v>
      </c>
      <c r="N52" s="32">
        <v>4</v>
      </c>
      <c r="O52" s="32">
        <v>10</v>
      </c>
      <c r="P52" s="38">
        <v>3</v>
      </c>
      <c r="Q52" s="32">
        <v>8</v>
      </c>
      <c r="R52" s="32">
        <v>7</v>
      </c>
      <c r="S52" s="32">
        <v>5</v>
      </c>
      <c r="T52" s="32">
        <v>8</v>
      </c>
      <c r="U52" s="32">
        <v>6</v>
      </c>
      <c r="V52" s="32">
        <v>5</v>
      </c>
      <c r="W52" s="35" cm="1">
        <f t="array" ref="W52">SUM(N52:V52)</f>
        <v>56</v>
      </c>
      <c r="X52" s="35">
        <v>25.5</v>
      </c>
      <c r="Y52" s="35" cm="1">
        <f t="array" ref="Y52">W52-X52</f>
        <v>30.5</v>
      </c>
      <c r="Z52" s="10"/>
    </row>
    <row r="53" ht="13.55" customHeight="1">
      <c r="A53" t="s" s="9">
        <v>17</v>
      </c>
      <c r="B53" s="32">
        <v>4</v>
      </c>
      <c r="C53" s="32">
        <v>6</v>
      </c>
      <c r="D53" s="32">
        <v>8</v>
      </c>
      <c r="E53" s="32">
        <v>6</v>
      </c>
      <c r="F53" s="38">
        <v>4</v>
      </c>
      <c r="G53" s="32">
        <v>7</v>
      </c>
      <c r="H53" s="32">
        <v>5</v>
      </c>
      <c r="I53" s="32">
        <v>13</v>
      </c>
      <c r="J53" s="32">
        <v>5</v>
      </c>
      <c r="K53" s="35" cm="1">
        <f t="array" ref="K53">SUM(B53:J53)</f>
        <v>58</v>
      </c>
      <c r="L53" s="35">
        <v>10.5</v>
      </c>
      <c r="M53" s="35" cm="1">
        <f t="array" ref="M53">K53-L53</f>
        <v>47.5</v>
      </c>
      <c r="N53" s="37"/>
      <c r="O53" s="37"/>
      <c r="P53" s="39"/>
      <c r="Q53" s="37"/>
      <c r="R53" s="37"/>
      <c r="S53" s="37"/>
      <c r="T53" s="37"/>
      <c r="U53" s="37"/>
      <c r="V53" s="37"/>
      <c r="W53" s="35" cm="1">
        <f t="array" ref="W53">SUM(N53:V53)</f>
        <v>0</v>
      </c>
      <c r="X53" s="35">
        <v>10.5</v>
      </c>
      <c r="Y53" s="35" cm="1">
        <f t="array" ref="Y53">W53-X53</f>
        <v>-10.5</v>
      </c>
      <c r="Z53" s="10"/>
    </row>
    <row r="54" ht="13.55" customHeight="1">
      <c r="A54" t="s" s="9">
        <v>11</v>
      </c>
      <c r="B54" s="32">
        <v>4</v>
      </c>
      <c r="C54" s="32">
        <v>4</v>
      </c>
      <c r="D54" s="32">
        <v>6</v>
      </c>
      <c r="E54" s="32">
        <v>4</v>
      </c>
      <c r="F54" s="38">
        <v>4</v>
      </c>
      <c r="G54" s="32">
        <v>5</v>
      </c>
      <c r="H54" s="32">
        <v>3</v>
      </c>
      <c r="I54" s="32">
        <v>6</v>
      </c>
      <c r="J54" s="32">
        <v>5</v>
      </c>
      <c r="K54" s="35" cm="1">
        <f t="array" ref="K54">SUM(B54:J54)</f>
        <v>41</v>
      </c>
      <c r="L54" s="35">
        <v>7</v>
      </c>
      <c r="M54" s="35" cm="1">
        <f t="array" ref="M54">K54-L54</f>
        <v>34</v>
      </c>
      <c r="N54" s="32">
        <v>4</v>
      </c>
      <c r="O54" s="32">
        <v>9</v>
      </c>
      <c r="P54" s="38">
        <v>3</v>
      </c>
      <c r="Q54" s="32">
        <v>5</v>
      </c>
      <c r="R54" s="32">
        <v>4</v>
      </c>
      <c r="S54" s="32">
        <v>4</v>
      </c>
      <c r="T54" s="32">
        <v>5</v>
      </c>
      <c r="U54" s="32">
        <v>5</v>
      </c>
      <c r="V54" s="32">
        <v>2</v>
      </c>
      <c r="W54" s="35" cm="1">
        <f t="array" ref="W54">SUM(N54:V54)</f>
        <v>41</v>
      </c>
      <c r="X54" s="35">
        <v>7</v>
      </c>
      <c r="Y54" s="35" cm="1">
        <f t="array" ref="Y54">W54-X54</f>
        <v>34</v>
      </c>
      <c r="Z54" s="10"/>
    </row>
    <row r="55" ht="13.55" customHeight="1">
      <c r="A55" t="s" s="9">
        <v>12</v>
      </c>
      <c r="B55" s="32">
        <v>5</v>
      </c>
      <c r="C55" s="32">
        <v>6</v>
      </c>
      <c r="D55" s="32">
        <v>8</v>
      </c>
      <c r="E55" s="32">
        <v>6</v>
      </c>
      <c r="F55" s="38">
        <v>5</v>
      </c>
      <c r="G55" s="32">
        <v>8</v>
      </c>
      <c r="H55" s="32">
        <v>3</v>
      </c>
      <c r="I55" s="32">
        <v>9</v>
      </c>
      <c r="J55" s="32">
        <v>6</v>
      </c>
      <c r="K55" s="35" cm="1">
        <f t="array" ref="K55">SUM(B55:J55)</f>
        <v>56</v>
      </c>
      <c r="L55" s="35">
        <v>22</v>
      </c>
      <c r="M55" s="35" cm="1">
        <f t="array" ref="M55">K55-L55</f>
        <v>34</v>
      </c>
      <c r="N55" s="32">
        <v>5</v>
      </c>
      <c r="O55" s="32">
        <v>10</v>
      </c>
      <c r="P55" s="38">
        <v>7</v>
      </c>
      <c r="Q55" s="32">
        <v>6</v>
      </c>
      <c r="R55" s="32">
        <v>6</v>
      </c>
      <c r="S55" s="32">
        <v>5</v>
      </c>
      <c r="T55" s="32">
        <v>6</v>
      </c>
      <c r="U55" s="32">
        <v>5</v>
      </c>
      <c r="V55" s="32">
        <v>6</v>
      </c>
      <c r="W55" s="35" cm="1">
        <f t="array" ref="W55">SUM(N55:V55)</f>
        <v>56</v>
      </c>
      <c r="X55" s="35">
        <v>22</v>
      </c>
      <c r="Y55" s="35" cm="1">
        <f t="array" ref="Y55">W55-X55</f>
        <v>34</v>
      </c>
      <c r="Z55" s="10"/>
    </row>
    <row r="56" ht="13.55" customHeight="1">
      <c r="A56" t="s" s="9">
        <v>13</v>
      </c>
      <c r="B56" s="37"/>
      <c r="C56" s="37"/>
      <c r="D56" s="37"/>
      <c r="E56" s="37"/>
      <c r="F56" s="39"/>
      <c r="G56" s="37"/>
      <c r="H56" s="37"/>
      <c r="I56" s="37"/>
      <c r="J56" s="37"/>
      <c r="K56" s="35" cm="1">
        <f t="array" ref="K56">SUM(B56:J56)</f>
        <v>0</v>
      </c>
      <c r="L56" s="35">
        <v>12.5</v>
      </c>
      <c r="M56" s="35" cm="1">
        <f t="array" ref="M56">K56-L56</f>
        <v>-12.5</v>
      </c>
      <c r="N56" s="32">
        <v>3</v>
      </c>
      <c r="O56" s="32">
        <v>5</v>
      </c>
      <c r="P56" s="38">
        <v>3</v>
      </c>
      <c r="Q56" s="32">
        <v>7</v>
      </c>
      <c r="R56" s="32">
        <v>5</v>
      </c>
      <c r="S56" s="32">
        <v>4</v>
      </c>
      <c r="T56" s="32">
        <v>5</v>
      </c>
      <c r="U56" s="32">
        <v>6</v>
      </c>
      <c r="V56" s="32">
        <v>3</v>
      </c>
      <c r="W56" s="35" cm="1">
        <f t="array" ref="W56">SUM(N56:V56)</f>
        <v>41</v>
      </c>
      <c r="X56" s="35">
        <v>12.5</v>
      </c>
      <c r="Y56" s="35" cm="1">
        <f t="array" ref="Y56">W56-X56</f>
        <v>28.5</v>
      </c>
      <c r="Z56" s="10"/>
    </row>
    <row r="57" ht="13.55" customHeight="1">
      <c r="A57" t="s" s="9">
        <v>14</v>
      </c>
      <c r="B57" s="37"/>
      <c r="C57" s="37"/>
      <c r="D57" s="37"/>
      <c r="E57" s="37"/>
      <c r="F57" s="39"/>
      <c r="G57" s="37"/>
      <c r="H57" s="37"/>
      <c r="I57" s="37"/>
      <c r="J57" s="37"/>
      <c r="K57" s="35" cm="1">
        <f t="array" ref="K57">SUM(B57:J57)</f>
        <v>0</v>
      </c>
      <c r="L57" s="35">
        <v>12</v>
      </c>
      <c r="M57" s="35" cm="1">
        <f t="array" ref="M57">K57-L57</f>
        <v>-12</v>
      </c>
      <c r="N57" s="32">
        <v>4</v>
      </c>
      <c r="O57" s="32">
        <v>7</v>
      </c>
      <c r="P57" s="38">
        <v>4</v>
      </c>
      <c r="Q57" s="32">
        <v>4</v>
      </c>
      <c r="R57" s="32">
        <v>7</v>
      </c>
      <c r="S57" s="32">
        <v>4</v>
      </c>
      <c r="T57" s="32">
        <v>5</v>
      </c>
      <c r="U57" s="32">
        <v>5</v>
      </c>
      <c r="V57" s="32">
        <v>4</v>
      </c>
      <c r="W57" s="35" cm="1">
        <f t="array" ref="W57">SUM(N57:V57)</f>
        <v>44</v>
      </c>
      <c r="X57" s="35">
        <v>12</v>
      </c>
      <c r="Y57" s="35" cm="1">
        <f t="array" ref="Y57">W57-X57</f>
        <v>32</v>
      </c>
      <c r="Z57" s="10"/>
    </row>
    <row r="58" ht="13.55" customHeight="1">
      <c r="A58" t="s" s="9">
        <v>15</v>
      </c>
      <c r="B58" s="32">
        <v>4</v>
      </c>
      <c r="C58" s="32">
        <v>5</v>
      </c>
      <c r="D58" s="32">
        <v>6</v>
      </c>
      <c r="E58" s="32">
        <v>5</v>
      </c>
      <c r="F58" s="38">
        <v>4</v>
      </c>
      <c r="G58" s="32">
        <v>3</v>
      </c>
      <c r="H58" s="32">
        <v>5</v>
      </c>
      <c r="I58" s="32">
        <v>6</v>
      </c>
      <c r="J58" s="32">
        <v>5</v>
      </c>
      <c r="K58" s="35" cm="1">
        <f t="array" ref="K58">SUM(B58:J58)</f>
        <v>43</v>
      </c>
      <c r="L58" s="35">
        <v>12.5</v>
      </c>
      <c r="M58" s="35" cm="1">
        <f t="array" ref="M58">K58-L58</f>
        <v>30.5</v>
      </c>
      <c r="N58" s="32">
        <v>4</v>
      </c>
      <c r="O58" s="32">
        <v>6</v>
      </c>
      <c r="P58" s="38">
        <v>4</v>
      </c>
      <c r="Q58" s="32">
        <v>7</v>
      </c>
      <c r="R58" s="32">
        <v>5</v>
      </c>
      <c r="S58" s="32">
        <v>3</v>
      </c>
      <c r="T58" s="32">
        <v>4</v>
      </c>
      <c r="U58" s="32">
        <v>6</v>
      </c>
      <c r="V58" s="32">
        <v>6</v>
      </c>
      <c r="W58" s="35" cm="1">
        <f t="array" ref="W58">SUM(N58:V58)</f>
        <v>45</v>
      </c>
      <c r="X58" s="35">
        <v>12.5</v>
      </c>
      <c r="Y58" s="35" cm="1">
        <f t="array" ref="Y58">W58-X58</f>
        <v>32.5</v>
      </c>
      <c r="Z58" s="10"/>
    </row>
    <row r="59" ht="13.55" customHeight="1">
      <c r="A59" t="s" s="9">
        <v>16</v>
      </c>
      <c r="B59" s="32">
        <v>8</v>
      </c>
      <c r="C59" s="32">
        <v>5</v>
      </c>
      <c r="D59" s="32">
        <v>9</v>
      </c>
      <c r="E59" s="32">
        <v>8</v>
      </c>
      <c r="F59" s="38">
        <v>5</v>
      </c>
      <c r="G59" s="32">
        <v>10</v>
      </c>
      <c r="H59" s="32">
        <v>3</v>
      </c>
      <c r="I59" s="32">
        <v>7</v>
      </c>
      <c r="J59" s="32">
        <v>14</v>
      </c>
      <c r="K59" s="35" cm="1">
        <f t="array" ref="K59">SUM(B59:J59)</f>
        <v>69</v>
      </c>
      <c r="L59" s="35">
        <v>23</v>
      </c>
      <c r="M59" s="35" cm="1">
        <f t="array" ref="M59">K59-L59</f>
        <v>46</v>
      </c>
      <c r="N59" s="32">
        <v>4</v>
      </c>
      <c r="O59" s="32">
        <v>9</v>
      </c>
      <c r="P59" s="38">
        <v>4</v>
      </c>
      <c r="Q59" s="32">
        <v>7</v>
      </c>
      <c r="R59" s="32">
        <v>6</v>
      </c>
      <c r="S59" s="32">
        <v>5</v>
      </c>
      <c r="T59" s="32">
        <v>9</v>
      </c>
      <c r="U59" s="32">
        <v>7</v>
      </c>
      <c r="V59" s="32">
        <v>3</v>
      </c>
      <c r="W59" s="35" cm="1">
        <f t="array" ref="W59">SUM(N59:V59)</f>
        <v>54</v>
      </c>
      <c r="X59" s="35">
        <v>23</v>
      </c>
      <c r="Y59" s="35" cm="1">
        <f t="array" ref="Y59">W59-X59</f>
        <v>31</v>
      </c>
      <c r="Z59" s="10"/>
    </row>
    <row r="60" ht="13.55" customHeight="1">
      <c r="A60" s="14"/>
      <c r="B60" s="14"/>
      <c r="C60" s="14"/>
      <c r="D60" s="14"/>
      <c r="E60" s="57"/>
      <c r="F60" t="s" s="55">
        <v>73</v>
      </c>
      <c r="G60" s="54"/>
      <c r="H60" s="14"/>
      <c r="I60" s="14"/>
      <c r="J60" s="14"/>
      <c r="K60" s="14"/>
      <c r="L60" s="14"/>
      <c r="M60" s="14"/>
      <c r="N60" s="14"/>
      <c r="O60" s="53"/>
      <c r="P60" t="s" s="55">
        <v>74</v>
      </c>
      <c r="Q60" s="54"/>
      <c r="R60" s="14"/>
      <c r="S60" s="14"/>
      <c r="T60" s="58"/>
      <c r="U60" s="14"/>
      <c r="V60" s="14"/>
      <c r="W60" s="14"/>
      <c r="X60" s="14"/>
      <c r="Y60" s="14"/>
      <c r="Z60" s="8"/>
    </row>
  </sheetData>
  <mergeCells count="3">
    <mergeCell ref="A12:N12"/>
    <mergeCell ref="P12:Q12"/>
    <mergeCell ref="T12:Z1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2:B11"/>
  <sheetViews>
    <sheetView workbookViewId="0" showGridLines="0" defaultGridColor="1"/>
  </sheetViews>
  <sheetFormatPr defaultColWidth="13.3333" defaultRowHeight="17.4" customHeight="1" outlineLevelRow="0" outlineLevelCol="0"/>
  <cols>
    <col min="1" max="2" width="13.3516" style="59" customWidth="1"/>
    <col min="3" max="16384" width="13.3516" style="59" customWidth="1"/>
  </cols>
  <sheetData>
    <row r="1" ht="12.35" customHeight="1">
      <c r="A1" t="s" s="17">
        <v>75</v>
      </c>
      <c r="B1" s="17"/>
    </row>
    <row r="2" ht="15.3" customHeight="1">
      <c r="A2" t="s" s="18">
        <v>6</v>
      </c>
      <c r="B2" t="s" s="19">
        <v>21</v>
      </c>
    </row>
    <row r="3" ht="15.3" customHeight="1">
      <c r="A3" t="s" s="20">
        <v>13</v>
      </c>
      <c r="B3" s="21">
        <v>32.5</v>
      </c>
    </row>
    <row r="4" ht="15.05" customHeight="1">
      <c r="A4" t="s" s="22">
        <v>14</v>
      </c>
      <c r="B4" s="23">
        <v>31.5</v>
      </c>
    </row>
    <row r="5" ht="15.05" customHeight="1">
      <c r="A5" t="s" s="22">
        <v>15</v>
      </c>
      <c r="B5" s="23">
        <v>30.5</v>
      </c>
    </row>
    <row r="6" ht="15.05" customHeight="1">
      <c r="A6" t="s" s="22">
        <v>16</v>
      </c>
      <c r="B6" s="23">
        <v>30</v>
      </c>
    </row>
    <row r="7" ht="15.05" customHeight="1">
      <c r="A7" t="s" s="22">
        <v>12</v>
      </c>
      <c r="B7" s="23">
        <v>26</v>
      </c>
    </row>
    <row r="8" ht="15.05" customHeight="1">
      <c r="A8" t="s" s="22">
        <v>10</v>
      </c>
      <c r="B8" s="23">
        <v>25.5</v>
      </c>
    </row>
    <row r="9" ht="15.05" customHeight="1">
      <c r="A9" t="s" s="22">
        <v>17</v>
      </c>
      <c r="B9" s="23">
        <v>25.5</v>
      </c>
    </row>
    <row r="10" ht="15.3" customHeight="1">
      <c r="A10" t="s" s="24">
        <v>11</v>
      </c>
      <c r="B10" s="25">
        <v>9.5</v>
      </c>
    </row>
    <row r="11" ht="15.3" customHeight="1">
      <c r="A11" t="s" s="26">
        <v>22</v>
      </c>
      <c r="B11" s="27">
        <v>211</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Z60"/>
  <sheetViews>
    <sheetView workbookViewId="0" showGridLines="0" defaultGridColor="1"/>
  </sheetViews>
  <sheetFormatPr defaultColWidth="8.83333" defaultRowHeight="14.5" customHeight="1" outlineLevelRow="0" outlineLevelCol="0"/>
  <cols>
    <col min="1" max="1" width="10.6719" style="60" customWidth="1"/>
    <col min="2" max="2" width="11.3516" style="60" customWidth="1"/>
    <col min="3" max="12" width="9.17188" style="60" customWidth="1"/>
    <col min="13" max="13" width="8.85156" style="60" customWidth="1"/>
    <col min="14" max="24" width="9.17188" style="60" customWidth="1"/>
    <col min="25" max="26" width="8.85156" style="60" customWidth="1"/>
    <col min="27" max="16384" width="8.85156" style="60" customWidth="1"/>
  </cols>
  <sheetData>
    <row r="1" ht="9" customHeight="1" hidden="1">
      <c r="A1" s="29"/>
      <c r="B1" s="29"/>
      <c r="C1" s="29"/>
      <c r="D1" s="29"/>
      <c r="E1" s="29"/>
      <c r="F1" s="29"/>
      <c r="G1" s="29"/>
      <c r="H1" s="29"/>
      <c r="I1" s="29"/>
      <c r="J1" s="29"/>
      <c r="K1" s="29"/>
      <c r="L1" s="29"/>
      <c r="M1" s="29"/>
      <c r="N1" s="29"/>
      <c r="O1" s="8"/>
      <c r="P1" s="29"/>
      <c r="Q1" s="29"/>
      <c r="R1" s="8"/>
      <c r="S1" s="8"/>
      <c r="T1" s="29"/>
      <c r="U1" s="29"/>
      <c r="V1" s="29"/>
      <c r="W1" s="29"/>
      <c r="X1" s="29"/>
      <c r="Y1" s="29"/>
      <c r="Z1" s="29"/>
    </row>
    <row r="2" ht="9" customHeight="1" hidden="1">
      <c r="A2" s="29"/>
      <c r="B2" s="29"/>
      <c r="C2" s="29"/>
      <c r="D2" s="29"/>
      <c r="E2" s="29"/>
      <c r="F2" s="29"/>
      <c r="G2" s="29"/>
      <c r="H2" s="29"/>
      <c r="I2" s="29"/>
      <c r="J2" s="29"/>
      <c r="K2" s="29"/>
      <c r="L2" s="29"/>
      <c r="M2" s="29"/>
      <c r="N2" s="29"/>
      <c r="O2" s="8"/>
      <c r="P2" s="29"/>
      <c r="Q2" s="29"/>
      <c r="R2" s="8"/>
      <c r="S2" s="8"/>
      <c r="T2" s="29"/>
      <c r="U2" s="29"/>
      <c r="V2" s="29"/>
      <c r="W2" s="29"/>
      <c r="X2" s="29"/>
      <c r="Y2" s="29"/>
      <c r="Z2" s="29"/>
    </row>
    <row r="3" ht="9" customHeight="1" hidden="1">
      <c r="A3" s="29"/>
      <c r="B3" s="29"/>
      <c r="C3" s="29"/>
      <c r="D3" s="29"/>
      <c r="E3" s="29"/>
      <c r="F3" s="29"/>
      <c r="G3" s="29"/>
      <c r="H3" s="29"/>
      <c r="I3" s="29"/>
      <c r="J3" s="29"/>
      <c r="K3" s="29"/>
      <c r="L3" s="29"/>
      <c r="M3" s="29"/>
      <c r="N3" s="29"/>
      <c r="O3" s="8"/>
      <c r="P3" s="29"/>
      <c r="Q3" s="29"/>
      <c r="R3" s="8"/>
      <c r="S3" s="8"/>
      <c r="T3" s="29"/>
      <c r="U3" s="29"/>
      <c r="V3" s="29"/>
      <c r="W3" s="29"/>
      <c r="X3" s="29"/>
      <c r="Y3" s="29"/>
      <c r="Z3" s="29"/>
    </row>
    <row r="4" ht="9" customHeight="1" hidden="1">
      <c r="A4" s="29"/>
      <c r="B4" s="29"/>
      <c r="C4" s="29"/>
      <c r="D4" s="29"/>
      <c r="E4" s="29"/>
      <c r="F4" s="29"/>
      <c r="G4" s="29"/>
      <c r="H4" s="29"/>
      <c r="I4" s="29"/>
      <c r="J4" s="29"/>
      <c r="K4" s="29"/>
      <c r="L4" s="29"/>
      <c r="M4" s="29"/>
      <c r="N4" s="29"/>
      <c r="O4" s="8"/>
      <c r="P4" s="29"/>
      <c r="Q4" s="29"/>
      <c r="R4" s="8"/>
      <c r="S4" s="8"/>
      <c r="T4" s="29"/>
      <c r="U4" s="29"/>
      <c r="V4" s="29"/>
      <c r="W4" s="29"/>
      <c r="X4" s="29"/>
      <c r="Y4" s="29"/>
      <c r="Z4" s="29"/>
    </row>
    <row r="5" ht="9" customHeight="1" hidden="1">
      <c r="A5" s="29"/>
      <c r="B5" s="29"/>
      <c r="C5" s="29"/>
      <c r="D5" s="29"/>
      <c r="E5" s="29"/>
      <c r="F5" s="29"/>
      <c r="G5" s="29"/>
      <c r="H5" s="29"/>
      <c r="I5" s="29"/>
      <c r="J5" s="29"/>
      <c r="K5" s="29"/>
      <c r="L5" s="29"/>
      <c r="M5" s="29"/>
      <c r="N5" s="29"/>
      <c r="O5" s="8"/>
      <c r="P5" s="29"/>
      <c r="Q5" s="29"/>
      <c r="R5" s="8"/>
      <c r="S5" s="8"/>
      <c r="T5" s="29"/>
      <c r="U5" s="29"/>
      <c r="V5" s="29"/>
      <c r="W5" s="29"/>
      <c r="X5" s="29"/>
      <c r="Y5" s="29"/>
      <c r="Z5" s="29"/>
    </row>
    <row r="6" ht="9" customHeight="1" hidden="1">
      <c r="A6" s="29"/>
      <c r="B6" s="29"/>
      <c r="C6" s="29"/>
      <c r="D6" s="29"/>
      <c r="E6" s="29"/>
      <c r="F6" s="29"/>
      <c r="G6" s="29"/>
      <c r="H6" s="29"/>
      <c r="I6" s="29"/>
      <c r="J6" s="29"/>
      <c r="K6" s="29"/>
      <c r="L6" s="29"/>
      <c r="M6" s="29"/>
      <c r="N6" s="29"/>
      <c r="O6" s="8"/>
      <c r="P6" s="29"/>
      <c r="Q6" s="29"/>
      <c r="R6" s="8"/>
      <c r="S6" s="8"/>
      <c r="T6" s="29"/>
      <c r="U6" s="29"/>
      <c r="V6" s="29"/>
      <c r="W6" s="29"/>
      <c r="X6" s="29"/>
      <c r="Y6" s="29"/>
      <c r="Z6" s="29"/>
    </row>
    <row r="7" ht="9" customHeight="1" hidden="1">
      <c r="A7" s="29"/>
      <c r="B7" s="29"/>
      <c r="C7" s="29"/>
      <c r="D7" s="29"/>
      <c r="E7" s="29"/>
      <c r="F7" s="29"/>
      <c r="G7" s="29"/>
      <c r="H7" s="29"/>
      <c r="I7" s="29"/>
      <c r="J7" s="29"/>
      <c r="K7" s="29"/>
      <c r="L7" s="29"/>
      <c r="M7" s="29"/>
      <c r="N7" s="29"/>
      <c r="O7" s="8"/>
      <c r="P7" s="29"/>
      <c r="Q7" s="29"/>
      <c r="R7" s="8"/>
      <c r="S7" s="8"/>
      <c r="T7" s="29"/>
      <c r="U7" s="29"/>
      <c r="V7" s="29"/>
      <c r="W7" s="29"/>
      <c r="X7" s="29"/>
      <c r="Y7" s="29"/>
      <c r="Z7" s="29"/>
    </row>
    <row r="8" ht="9" customHeight="1" hidden="1">
      <c r="A8" s="29"/>
      <c r="B8" s="29"/>
      <c r="C8" s="29"/>
      <c r="D8" s="29"/>
      <c r="E8" s="29"/>
      <c r="F8" s="29"/>
      <c r="G8" s="29"/>
      <c r="H8" s="29"/>
      <c r="I8" s="29"/>
      <c r="J8" s="29"/>
      <c r="K8" s="29"/>
      <c r="L8" s="29"/>
      <c r="M8" s="29"/>
      <c r="N8" s="29"/>
      <c r="O8" s="8"/>
      <c r="P8" s="29"/>
      <c r="Q8" s="29"/>
      <c r="R8" s="8"/>
      <c r="S8" s="8"/>
      <c r="T8" s="29"/>
      <c r="U8" s="29"/>
      <c r="V8" s="29"/>
      <c r="W8" s="29"/>
      <c r="X8" s="29"/>
      <c r="Y8" s="29"/>
      <c r="Z8" s="29"/>
    </row>
    <row r="9" ht="9" customHeight="1" hidden="1">
      <c r="A9" s="29"/>
      <c r="B9" s="29"/>
      <c r="C9" s="29"/>
      <c r="D9" s="29"/>
      <c r="E9" s="29"/>
      <c r="F9" s="29"/>
      <c r="G9" s="29"/>
      <c r="H9" s="29"/>
      <c r="I9" s="29"/>
      <c r="J9" s="29"/>
      <c r="K9" s="29"/>
      <c r="L9" s="29"/>
      <c r="M9" s="29"/>
      <c r="N9" s="29"/>
      <c r="O9" s="8"/>
      <c r="P9" s="29"/>
      <c r="Q9" s="29"/>
      <c r="R9" s="8"/>
      <c r="S9" s="8"/>
      <c r="T9" s="29"/>
      <c r="U9" s="29"/>
      <c r="V9" s="29"/>
      <c r="W9" s="29"/>
      <c r="X9" s="29"/>
      <c r="Y9" s="29"/>
      <c r="Z9" s="29"/>
    </row>
    <row r="10" ht="9" customHeight="1" hidden="1">
      <c r="A10" s="29"/>
      <c r="B10" s="29"/>
      <c r="C10" s="29"/>
      <c r="D10" s="29"/>
      <c r="E10" s="29"/>
      <c r="F10" s="29"/>
      <c r="G10" s="29"/>
      <c r="H10" s="29"/>
      <c r="I10" s="29"/>
      <c r="J10" s="29"/>
      <c r="K10" s="29"/>
      <c r="L10" s="29"/>
      <c r="M10" s="29"/>
      <c r="N10" s="29"/>
      <c r="O10" s="8"/>
      <c r="P10" s="29"/>
      <c r="Q10" s="29"/>
      <c r="R10" s="8"/>
      <c r="S10" s="8"/>
      <c r="T10" s="29"/>
      <c r="U10" s="29"/>
      <c r="V10" s="29"/>
      <c r="W10" s="29"/>
      <c r="X10" s="29"/>
      <c r="Y10" s="29"/>
      <c r="Z10" s="29"/>
    </row>
    <row r="11" ht="9" customHeight="1" hidden="1">
      <c r="A11" s="29"/>
      <c r="B11" s="29"/>
      <c r="C11" s="29"/>
      <c r="D11" s="29"/>
      <c r="E11" s="29"/>
      <c r="F11" s="29"/>
      <c r="G11" s="29"/>
      <c r="H11" s="29"/>
      <c r="I11" s="29"/>
      <c r="J11" s="29"/>
      <c r="K11" s="29"/>
      <c r="L11" s="29"/>
      <c r="M11" s="29"/>
      <c r="N11" s="29"/>
      <c r="O11" s="8"/>
      <c r="P11" s="29"/>
      <c r="Q11" s="29"/>
      <c r="R11" s="8"/>
      <c r="S11" s="8"/>
      <c r="T11" s="29"/>
      <c r="U11" s="29"/>
      <c r="V11" s="29"/>
      <c r="W11" s="29"/>
      <c r="X11" s="29"/>
      <c r="Y11" s="29"/>
      <c r="Z11" s="29"/>
    </row>
    <row r="12" ht="13.55" customHeight="1">
      <c r="A12" t="s" s="9">
        <v>47</v>
      </c>
      <c r="B12" s="30"/>
      <c r="C12" s="30"/>
      <c r="D12" s="30"/>
      <c r="E12" s="30"/>
      <c r="F12" s="30"/>
      <c r="G12" s="30"/>
      <c r="H12" s="30"/>
      <c r="I12" s="30"/>
      <c r="J12" s="30"/>
      <c r="K12" s="30"/>
      <c r="L12" s="30"/>
      <c r="M12" s="30"/>
      <c r="N12" s="30"/>
      <c r="O12" s="31"/>
      <c r="P12" t="s" s="45">
        <v>26</v>
      </c>
      <c r="Q12" s="46"/>
      <c r="R12" t="s" s="47">
        <v>52</v>
      </c>
      <c r="S12" s="48"/>
      <c r="T12" t="s" s="9">
        <v>8</v>
      </c>
      <c r="U12" s="30"/>
      <c r="V12" s="30"/>
      <c r="W12" s="30"/>
      <c r="X12" s="30"/>
      <c r="Y12" s="30"/>
      <c r="Z12" s="30"/>
    </row>
    <row r="13" ht="13.55" customHeight="1">
      <c r="A13" t="s" s="9">
        <v>6</v>
      </c>
      <c r="B13" t="s" s="9">
        <v>25</v>
      </c>
      <c r="C13" t="s" s="9">
        <v>26</v>
      </c>
      <c r="D13" t="s" s="9">
        <v>27</v>
      </c>
      <c r="E13" t="s" s="9">
        <v>26</v>
      </c>
      <c r="F13" t="s" s="9">
        <v>28</v>
      </c>
      <c r="G13" t="s" s="9">
        <v>26</v>
      </c>
      <c r="H13" t="s" s="9">
        <v>29</v>
      </c>
      <c r="I13" t="s" s="9">
        <v>26</v>
      </c>
      <c r="J13" t="s" s="9">
        <v>30</v>
      </c>
      <c r="K13" t="s" s="9">
        <v>26</v>
      </c>
      <c r="L13" t="s" s="9">
        <v>31</v>
      </c>
      <c r="M13" t="s" s="9">
        <v>26</v>
      </c>
      <c r="N13" t="s" s="9">
        <v>9</v>
      </c>
      <c r="O13" s="31"/>
      <c r="P13" t="s" s="9">
        <v>53</v>
      </c>
      <c r="Q13" s="32">
        <v>8</v>
      </c>
      <c r="R13" s="10"/>
      <c r="S13" s="48"/>
      <c r="T13" t="s" s="9">
        <v>6</v>
      </c>
      <c r="U13" t="s" s="9">
        <v>25</v>
      </c>
      <c r="V13" t="s" s="9">
        <v>27</v>
      </c>
      <c r="W13" t="s" s="9">
        <v>28</v>
      </c>
      <c r="X13" t="s" s="9">
        <v>29</v>
      </c>
      <c r="Y13" t="s" s="9">
        <v>30</v>
      </c>
      <c r="Z13" t="s" s="9">
        <v>31</v>
      </c>
    </row>
    <row r="14" ht="13.55" customHeight="1">
      <c r="A14" t="s" s="9">
        <v>10</v>
      </c>
      <c r="B14" s="32" cm="1">
        <f t="array" ref="B14">M26</f>
        <v>40</v>
      </c>
      <c r="C14" s="32">
        <v>2.5</v>
      </c>
      <c r="D14" s="33" cm="1">
        <f t="array" ref="D14">Y26</f>
        <v>39</v>
      </c>
      <c r="E14" s="33">
        <v>3</v>
      </c>
      <c r="F14" s="32" cm="1">
        <f t="array" ref="F14">M39</f>
        <v>31</v>
      </c>
      <c r="G14" s="32">
        <v>5.5</v>
      </c>
      <c r="H14" s="32" cm="1">
        <f t="array" ref="H14">Y39</f>
        <v>36</v>
      </c>
      <c r="I14" s="32">
        <v>3.5</v>
      </c>
      <c r="J14" s="32" cm="1">
        <f t="array" ref="J14">M52</f>
        <v>34</v>
      </c>
      <c r="K14" s="32">
        <v>5</v>
      </c>
      <c r="L14" s="32" cm="1">
        <f t="array" ref="L14">Y52</f>
        <v>37</v>
      </c>
      <c r="M14" s="32">
        <v>6</v>
      </c>
      <c r="N14" s="34" cm="1">
        <f t="array" ref="N14">C14+E14+G14+I14+K14+M14</f>
        <v>25.5</v>
      </c>
      <c r="O14" s="31"/>
      <c r="P14" t="s" s="9">
        <v>54</v>
      </c>
      <c r="Q14" s="32">
        <v>7</v>
      </c>
      <c r="R14" s="10"/>
      <c r="S14" s="48"/>
      <c r="T14" t="s" s="9">
        <v>10</v>
      </c>
      <c r="U14" t="s" s="36">
        <v>44</v>
      </c>
      <c r="V14" t="s" s="36">
        <v>44</v>
      </c>
      <c r="W14" t="s" s="36">
        <v>44</v>
      </c>
      <c r="X14" t="s" s="36">
        <v>44</v>
      </c>
      <c r="Y14" t="s" s="36">
        <v>44</v>
      </c>
      <c r="Z14" t="s" s="36">
        <v>44</v>
      </c>
    </row>
    <row r="15" ht="13.55" customHeight="1">
      <c r="A15" t="s" s="9">
        <v>17</v>
      </c>
      <c r="B15" s="32" cm="1">
        <f t="array" ref="B15">M27</f>
        <v>35</v>
      </c>
      <c r="C15" s="32">
        <v>6</v>
      </c>
      <c r="D15" s="33" cm="1">
        <f t="array" ref="D15">Y27</f>
        <v>27</v>
      </c>
      <c r="E15" s="33">
        <v>8</v>
      </c>
      <c r="F15" s="32" cm="1">
        <f t="array" ref="F15">M40</f>
        <v>37</v>
      </c>
      <c r="G15" s="32">
        <v>3</v>
      </c>
      <c r="H15" s="32" cm="1">
        <f t="array" ref="H15">Y40</f>
        <v>33</v>
      </c>
      <c r="I15" s="32">
        <v>6.5</v>
      </c>
      <c r="J15" s="32" cm="1">
        <f t="array" ref="J15">M53</f>
        <v>-14</v>
      </c>
      <c r="K15" s="32">
        <v>1</v>
      </c>
      <c r="L15" s="32" cm="1">
        <f t="array" ref="L15">Y53</f>
        <v>-14</v>
      </c>
      <c r="M15" s="32">
        <v>1</v>
      </c>
      <c r="N15" s="34" cm="1">
        <f t="array" ref="N15">C15+E15+G15+I15+K15+M15</f>
        <v>25.5</v>
      </c>
      <c r="O15" s="31"/>
      <c r="P15" t="s" s="9">
        <v>55</v>
      </c>
      <c r="Q15" s="32">
        <v>6</v>
      </c>
      <c r="R15" s="10"/>
      <c r="S15" s="48"/>
      <c r="T15" t="s" s="9">
        <v>17</v>
      </c>
      <c r="U15" t="s" s="36">
        <v>44</v>
      </c>
      <c r="V15" t="s" s="36">
        <v>44</v>
      </c>
      <c r="W15" t="s" s="36">
        <v>44</v>
      </c>
      <c r="X15" t="s" s="36">
        <v>44</v>
      </c>
      <c r="Y15" t="s" s="36">
        <v>44</v>
      </c>
      <c r="Z15" t="s" s="36">
        <v>44</v>
      </c>
    </row>
    <row r="16" ht="13.55" customHeight="1">
      <c r="A16" t="s" s="9">
        <v>11</v>
      </c>
      <c r="B16" s="32" cm="1">
        <f t="array" ref="B16">M28</f>
        <v>40</v>
      </c>
      <c r="C16" s="32">
        <v>2.5</v>
      </c>
      <c r="D16" s="33" cm="1">
        <f t="array" ref="D16">Y28</f>
        <v>-6</v>
      </c>
      <c r="E16" s="33">
        <v>1</v>
      </c>
      <c r="F16" s="32" cm="1">
        <f t="array" ref="F16">M41</f>
        <v>-6</v>
      </c>
      <c r="G16" s="32">
        <v>1</v>
      </c>
      <c r="H16" s="32" cm="1">
        <f t="array" ref="H16">Y41</f>
        <v>41</v>
      </c>
      <c r="I16" s="32">
        <v>1</v>
      </c>
      <c r="J16" s="32" cm="1">
        <f t="array" ref="J16">M54</f>
        <v>39</v>
      </c>
      <c r="K16" s="32">
        <v>3</v>
      </c>
      <c r="L16" s="32" cm="1">
        <f t="array" ref="L16">Y54</f>
        <v>-6</v>
      </c>
      <c r="M16" s="32">
        <v>1</v>
      </c>
      <c r="N16" s="34" cm="1">
        <f t="array" ref="N16">C16+E16+G16+I16+K16+M16</f>
        <v>9.5</v>
      </c>
      <c r="O16" s="31"/>
      <c r="P16" t="s" s="9">
        <v>56</v>
      </c>
      <c r="Q16" s="32">
        <v>5</v>
      </c>
      <c r="R16" s="10"/>
      <c r="S16" s="48"/>
      <c r="T16" t="s" s="9">
        <v>11</v>
      </c>
      <c r="U16" s="38">
        <v>9.9</v>
      </c>
      <c r="V16" t="s" s="36">
        <v>44</v>
      </c>
      <c r="W16" t="s" s="36">
        <v>44</v>
      </c>
      <c r="X16" s="33">
        <v>20</v>
      </c>
      <c r="Y16" s="32">
        <v>8.199999999999999</v>
      </c>
      <c r="Z16" t="s" s="36">
        <v>44</v>
      </c>
    </row>
    <row r="17" ht="13.55" customHeight="1">
      <c r="A17" t="s" s="9">
        <v>12</v>
      </c>
      <c r="B17" s="32" cm="1">
        <f t="array" ref="B17">M29</f>
        <v>27</v>
      </c>
      <c r="C17" s="32">
        <v>8</v>
      </c>
      <c r="D17" s="33" cm="1">
        <f t="array" ref="D17">Y29</f>
        <v>29</v>
      </c>
      <c r="E17" s="33">
        <v>7</v>
      </c>
      <c r="F17" s="32" cm="1">
        <f t="array" ref="F17">M42</f>
        <v>-24</v>
      </c>
      <c r="G17" s="32">
        <v>1</v>
      </c>
      <c r="H17" s="32" cm="1">
        <f t="array" ref="H17">Y42</f>
        <v>26</v>
      </c>
      <c r="I17" s="32">
        <v>8</v>
      </c>
      <c r="J17" s="32" cm="1">
        <f t="array" ref="J17">M55</f>
        <v>-24</v>
      </c>
      <c r="K17" s="32">
        <v>1</v>
      </c>
      <c r="L17" s="32" cm="1">
        <f t="array" ref="L17">Y55</f>
        <v>-24</v>
      </c>
      <c r="M17" s="32">
        <v>1</v>
      </c>
      <c r="N17" s="34" cm="1">
        <f t="array" ref="N17">C17+E17+G17+I17+K17+M17</f>
        <v>26</v>
      </c>
      <c r="O17" s="31"/>
      <c r="P17" t="s" s="9">
        <v>57</v>
      </c>
      <c r="Q17" s="32">
        <v>4</v>
      </c>
      <c r="R17" s="10"/>
      <c r="S17" s="48"/>
      <c r="T17" t="s" s="9">
        <v>12</v>
      </c>
      <c r="U17" t="s" s="36">
        <v>44</v>
      </c>
      <c r="V17" t="s" s="36">
        <v>44</v>
      </c>
      <c r="W17" t="s" s="36">
        <v>44</v>
      </c>
      <c r="X17" t="s" s="36">
        <v>44</v>
      </c>
      <c r="Y17" t="s" s="36">
        <v>44</v>
      </c>
      <c r="Z17" t="s" s="36">
        <v>44</v>
      </c>
    </row>
    <row r="18" ht="13.55" customHeight="1">
      <c r="A18" t="s" s="9">
        <v>13</v>
      </c>
      <c r="B18" s="32" cm="1">
        <f t="array" ref="B18">M30</f>
        <v>37</v>
      </c>
      <c r="C18" s="32">
        <v>4</v>
      </c>
      <c r="D18" s="33" cm="1">
        <f t="array" ref="D18">Y30</f>
        <v>32</v>
      </c>
      <c r="E18" s="33">
        <v>6</v>
      </c>
      <c r="F18" s="32" cm="1">
        <f t="array" ref="F18">M43</f>
        <v>30</v>
      </c>
      <c r="G18" s="32">
        <v>7</v>
      </c>
      <c r="H18" s="32" cm="1">
        <f t="array" ref="H18">Y43</f>
        <v>33</v>
      </c>
      <c r="I18" s="32">
        <v>6.5</v>
      </c>
      <c r="J18" s="32" cm="1">
        <f t="array" ref="J18">M56</f>
        <v>37</v>
      </c>
      <c r="K18" s="32">
        <v>4</v>
      </c>
      <c r="L18" s="32" cm="1">
        <f t="array" ref="L18">Y56</f>
        <v>39</v>
      </c>
      <c r="M18" s="32">
        <v>5</v>
      </c>
      <c r="N18" s="34" cm="1">
        <f t="array" ref="N18">C18+E18+G18+I18+K18+M18</f>
        <v>32.5</v>
      </c>
      <c r="O18" s="31"/>
      <c r="P18" t="s" s="9">
        <v>58</v>
      </c>
      <c r="Q18" s="32">
        <v>3</v>
      </c>
      <c r="R18" s="10"/>
      <c r="S18" s="48"/>
      <c r="T18" t="s" s="9">
        <v>13</v>
      </c>
      <c r="U18" t="s" s="36">
        <v>44</v>
      </c>
      <c r="V18" s="38">
        <v>6.3</v>
      </c>
      <c r="W18" s="40">
        <v>8</v>
      </c>
      <c r="X18" s="40">
        <v>4.2</v>
      </c>
      <c r="Y18" t="s" s="36">
        <v>44</v>
      </c>
      <c r="Z18" t="s" s="36">
        <v>44</v>
      </c>
    </row>
    <row r="19" ht="13.55" customHeight="1">
      <c r="A19" t="s" s="9">
        <v>14</v>
      </c>
      <c r="B19" s="32" cm="1">
        <f t="array" ref="B19">M31</f>
        <v>29</v>
      </c>
      <c r="C19" s="32">
        <v>7</v>
      </c>
      <c r="D19" s="33" cm="1">
        <f t="array" ref="D19">Y31</f>
        <v>33</v>
      </c>
      <c r="E19" s="33">
        <v>4.5</v>
      </c>
      <c r="F19" s="32" cm="1">
        <f t="array" ref="F19">M44</f>
        <v>32</v>
      </c>
      <c r="G19" s="32">
        <v>4</v>
      </c>
      <c r="H19" s="32" cm="1">
        <f t="array" ref="H19">Y44</f>
        <v>37</v>
      </c>
      <c r="I19" s="32">
        <v>2</v>
      </c>
      <c r="J19" s="32" cm="1">
        <f t="array" ref="J19">M57</f>
        <v>31</v>
      </c>
      <c r="K19" s="32">
        <v>6</v>
      </c>
      <c r="L19" s="32" cm="1">
        <f t="array" ref="L19">Y57</f>
        <v>33</v>
      </c>
      <c r="M19" s="32">
        <v>8</v>
      </c>
      <c r="N19" s="34" cm="1">
        <f t="array" ref="N19">C19+E19+G19+I19+K19+M19</f>
        <v>31.5</v>
      </c>
      <c r="O19" s="31"/>
      <c r="P19" t="s" s="9">
        <v>59</v>
      </c>
      <c r="Q19" s="32">
        <v>2</v>
      </c>
      <c r="R19" s="10"/>
      <c r="S19" s="48"/>
      <c r="T19" t="s" s="9">
        <v>14</v>
      </c>
      <c r="U19" t="s" s="36">
        <v>44</v>
      </c>
      <c r="V19" s="33">
        <v>8.300000000000001</v>
      </c>
      <c r="W19" s="33">
        <v>12</v>
      </c>
      <c r="X19" t="s" s="36">
        <v>44</v>
      </c>
      <c r="Y19" s="32">
        <v>8.800000000000001</v>
      </c>
      <c r="Z19" s="38">
        <v>10.9</v>
      </c>
    </row>
    <row r="20" ht="13.55" customHeight="1">
      <c r="A20" t="s" s="9">
        <v>15</v>
      </c>
      <c r="B20" s="32" cm="1">
        <f t="array" ref="B20">M32</f>
        <v>36</v>
      </c>
      <c r="C20" s="32">
        <v>5</v>
      </c>
      <c r="D20" s="33" cm="1">
        <f t="array" ref="D20">Y32</f>
        <v>33</v>
      </c>
      <c r="E20" s="33">
        <v>4.5</v>
      </c>
      <c r="F20" s="32" cm="1">
        <f t="array" ref="F20">M45</f>
        <v>31</v>
      </c>
      <c r="G20" s="32">
        <v>5.5</v>
      </c>
      <c r="H20" s="32" cm="1">
        <f t="array" ref="H20">Y45</f>
        <v>36</v>
      </c>
      <c r="I20" s="32">
        <v>3.5</v>
      </c>
      <c r="J20" s="32" cm="1">
        <f t="array" ref="J20">M58</f>
        <v>29</v>
      </c>
      <c r="K20" s="32">
        <v>8</v>
      </c>
      <c r="L20" s="32" cm="1">
        <f t="array" ref="L20">Y58</f>
        <v>42</v>
      </c>
      <c r="M20" s="32">
        <v>4</v>
      </c>
      <c r="N20" s="34" cm="1">
        <f t="array" ref="N20">C20+E20+G20+I20+K20+M20</f>
        <v>30.5</v>
      </c>
      <c r="O20" s="31"/>
      <c r="P20" t="s" s="9">
        <v>60</v>
      </c>
      <c r="Q20" s="32">
        <v>1</v>
      </c>
      <c r="R20" s="10"/>
      <c r="S20" s="48"/>
      <c r="T20" t="s" s="9">
        <v>15</v>
      </c>
      <c r="U20" s="32">
        <v>21.3</v>
      </c>
      <c r="V20" s="32">
        <v>8.699999999999999</v>
      </c>
      <c r="W20" t="s" s="36">
        <v>44</v>
      </c>
      <c r="X20" t="s" s="36">
        <v>44</v>
      </c>
      <c r="Y20" s="38">
        <v>4.6</v>
      </c>
      <c r="Z20" t="s" s="36">
        <v>44</v>
      </c>
    </row>
    <row r="21" ht="13.55" customHeight="1">
      <c r="A21" t="s" s="9">
        <v>16</v>
      </c>
      <c r="B21" s="32" cm="1">
        <f t="array" ref="B21">M33</f>
        <v>-25</v>
      </c>
      <c r="C21" s="32">
        <v>1</v>
      </c>
      <c r="D21" s="33" cm="1">
        <f t="array" ref="D21">Y33</f>
        <v>48</v>
      </c>
      <c r="E21" s="33">
        <v>2</v>
      </c>
      <c r="F21" s="32" cm="1">
        <f t="array" ref="F21">M46</f>
        <v>29</v>
      </c>
      <c r="G21" s="32">
        <v>8</v>
      </c>
      <c r="H21" s="32" cm="1">
        <f t="array" ref="H21">Y46</f>
        <v>35</v>
      </c>
      <c r="I21" s="32">
        <v>5</v>
      </c>
      <c r="J21" s="32" cm="1">
        <f t="array" ref="J21">M59</f>
        <v>30</v>
      </c>
      <c r="K21" s="32">
        <v>7</v>
      </c>
      <c r="L21" s="32" cm="1">
        <f t="array" ref="L21">Y59</f>
        <v>34</v>
      </c>
      <c r="M21" s="32">
        <v>7</v>
      </c>
      <c r="N21" s="34" cm="1">
        <f t="array" ref="N21">C21+E21+G21+I21+K21+M21</f>
        <v>30</v>
      </c>
      <c r="O21" s="10"/>
      <c r="P21" s="14"/>
      <c r="Q21" s="14"/>
      <c r="R21" s="8"/>
      <c r="S21" s="48"/>
      <c r="T21" t="s" s="9">
        <v>16</v>
      </c>
      <c r="U21" t="s" s="36">
        <v>44</v>
      </c>
      <c r="V21" t="s" s="36">
        <v>44</v>
      </c>
      <c r="W21" t="s" s="36">
        <v>44</v>
      </c>
      <c r="X21" t="s" s="36">
        <v>44</v>
      </c>
      <c r="Y21" t="s" s="36">
        <v>44</v>
      </c>
      <c r="Z21" t="s" s="36">
        <v>44</v>
      </c>
    </row>
    <row r="22" ht="13.55" customHeight="1">
      <c r="A22" s="29"/>
      <c r="B22" s="29"/>
      <c r="C22" s="29"/>
      <c r="D22" s="29"/>
      <c r="E22" s="29"/>
      <c r="F22" s="29"/>
      <c r="G22" s="29"/>
      <c r="H22" s="29"/>
      <c r="I22" s="29"/>
      <c r="J22" s="29"/>
      <c r="K22" s="29"/>
      <c r="L22" s="29"/>
      <c r="M22" s="29"/>
      <c r="N22" s="29"/>
      <c r="O22" s="7"/>
      <c r="P22" s="7"/>
      <c r="Q22" s="7"/>
      <c r="R22" s="7"/>
      <c r="S22" s="7"/>
      <c r="T22" s="29"/>
      <c r="U22" s="29"/>
      <c r="V22" s="29"/>
      <c r="W22" s="29"/>
      <c r="X22" s="29"/>
      <c r="Y22" s="29"/>
      <c r="Z22" s="14"/>
    </row>
    <row r="23" ht="13.55" customHeight="1">
      <c r="A23" t="s" s="9">
        <v>78</v>
      </c>
      <c r="B23" s="35">
        <v>1</v>
      </c>
      <c r="C23" s="35">
        <v>2</v>
      </c>
      <c r="D23" s="49">
        <v>3</v>
      </c>
      <c r="E23" s="35">
        <v>4</v>
      </c>
      <c r="F23" s="35">
        <v>5</v>
      </c>
      <c r="G23" s="35">
        <v>6</v>
      </c>
      <c r="H23" s="35">
        <v>7</v>
      </c>
      <c r="I23" s="35">
        <v>8</v>
      </c>
      <c r="J23" s="35">
        <v>9</v>
      </c>
      <c r="K23" t="s" s="9">
        <v>9</v>
      </c>
      <c r="L23" t="s" s="9">
        <v>62</v>
      </c>
      <c r="M23" t="s" s="9">
        <v>63</v>
      </c>
      <c r="N23" s="35">
        <v>10</v>
      </c>
      <c r="O23" s="35">
        <v>11</v>
      </c>
      <c r="P23" s="35">
        <v>12</v>
      </c>
      <c r="Q23" s="35">
        <v>13</v>
      </c>
      <c r="R23" s="35">
        <v>14</v>
      </c>
      <c r="S23" s="49">
        <v>15</v>
      </c>
      <c r="T23" s="49">
        <v>16</v>
      </c>
      <c r="U23" s="35">
        <v>17</v>
      </c>
      <c r="V23" s="35">
        <v>18</v>
      </c>
      <c r="W23" t="s" s="9">
        <v>9</v>
      </c>
      <c r="X23" t="s" s="9">
        <v>62</v>
      </c>
      <c r="Y23" t="s" s="9">
        <v>63</v>
      </c>
      <c r="Z23" s="10"/>
    </row>
    <row r="24" ht="13.55" customHeight="1">
      <c r="A24" t="s" s="9">
        <v>64</v>
      </c>
      <c r="B24" s="35">
        <v>4</v>
      </c>
      <c r="C24" s="35">
        <v>5</v>
      </c>
      <c r="D24" s="49">
        <v>3</v>
      </c>
      <c r="E24" s="35">
        <v>4</v>
      </c>
      <c r="F24" s="35">
        <v>5</v>
      </c>
      <c r="G24" s="35">
        <v>5</v>
      </c>
      <c r="H24" s="35">
        <v>3</v>
      </c>
      <c r="I24" s="35">
        <v>4</v>
      </c>
      <c r="J24" s="35">
        <v>4</v>
      </c>
      <c r="K24" s="35" cm="1">
        <f t="array" ref="K24">SUM(B24:J24)</f>
        <v>37</v>
      </c>
      <c r="L24" s="50"/>
      <c r="M24" s="50"/>
      <c r="N24" s="35">
        <v>5</v>
      </c>
      <c r="O24" s="35">
        <v>4</v>
      </c>
      <c r="P24" s="35">
        <v>4</v>
      </c>
      <c r="Q24" s="35">
        <v>4</v>
      </c>
      <c r="R24" s="35">
        <v>4</v>
      </c>
      <c r="S24" s="49">
        <v>3</v>
      </c>
      <c r="T24" s="49">
        <v>3</v>
      </c>
      <c r="U24" s="35">
        <v>4</v>
      </c>
      <c r="V24" s="35">
        <v>4</v>
      </c>
      <c r="W24" s="35" cm="1">
        <f t="array" ref="W24">SUM(N24:V24)</f>
        <v>35</v>
      </c>
      <c r="X24" s="51"/>
      <c r="Y24" s="50"/>
      <c r="Z24" s="10"/>
    </row>
    <row r="25" ht="13.55" customHeight="1">
      <c r="A25" t="s" s="9">
        <v>6</v>
      </c>
      <c r="B25" s="52"/>
      <c r="C25" s="52"/>
      <c r="D25" s="52"/>
      <c r="E25" s="52"/>
      <c r="F25" s="52"/>
      <c r="G25" s="52"/>
      <c r="H25" s="52"/>
      <c r="I25" s="52"/>
      <c r="J25" s="52"/>
      <c r="K25" s="52"/>
      <c r="L25" s="52"/>
      <c r="M25" s="52"/>
      <c r="N25" s="52"/>
      <c r="O25" s="52"/>
      <c r="P25" s="52"/>
      <c r="Q25" s="52"/>
      <c r="R25" s="52"/>
      <c r="S25" s="52"/>
      <c r="T25" s="52"/>
      <c r="U25" s="52"/>
      <c r="V25" s="52"/>
      <c r="W25" s="52"/>
      <c r="X25" s="52"/>
      <c r="Y25" s="52"/>
      <c r="Z25" s="10"/>
    </row>
    <row r="26" ht="13.55" customHeight="1">
      <c r="A26" t="s" s="9">
        <v>10</v>
      </c>
      <c r="B26" s="32">
        <v>6</v>
      </c>
      <c r="C26" s="32">
        <v>9</v>
      </c>
      <c r="D26" s="38">
        <v>6</v>
      </c>
      <c r="E26" s="32">
        <v>7</v>
      </c>
      <c r="F26" s="32">
        <v>7</v>
      </c>
      <c r="G26" s="32">
        <v>9</v>
      </c>
      <c r="H26" s="32">
        <v>5</v>
      </c>
      <c r="I26" s="32">
        <v>9</v>
      </c>
      <c r="J26" s="32">
        <v>6</v>
      </c>
      <c r="K26" s="35" cm="1">
        <f t="array" ref="K26">SUM(B26:J26)</f>
        <v>64</v>
      </c>
      <c r="L26" s="35">
        <v>24</v>
      </c>
      <c r="M26" s="35" cm="1">
        <f t="array" ref="M26">K26-L26</f>
        <v>40</v>
      </c>
      <c r="N26" s="32">
        <v>9</v>
      </c>
      <c r="O26" s="32">
        <v>6</v>
      </c>
      <c r="P26" s="32">
        <v>5</v>
      </c>
      <c r="Q26" s="32">
        <v>7</v>
      </c>
      <c r="R26" s="32">
        <v>7</v>
      </c>
      <c r="S26" s="38">
        <v>6</v>
      </c>
      <c r="T26" s="38">
        <v>10</v>
      </c>
      <c r="U26" s="32">
        <v>7</v>
      </c>
      <c r="V26" s="32">
        <v>6</v>
      </c>
      <c r="W26" s="35" cm="1">
        <f t="array" ref="W26">SUM(N26:V26)</f>
        <v>63</v>
      </c>
      <c r="X26" s="35">
        <v>24</v>
      </c>
      <c r="Y26" s="35" cm="1">
        <f t="array" ref="Y26">W26-X26</f>
        <v>39</v>
      </c>
      <c r="Z26" s="10"/>
    </row>
    <row r="27" ht="13.55" customHeight="1">
      <c r="A27" t="s" s="9">
        <v>17</v>
      </c>
      <c r="B27" s="32">
        <v>5</v>
      </c>
      <c r="C27" s="32">
        <v>5</v>
      </c>
      <c r="D27" s="38">
        <v>4</v>
      </c>
      <c r="E27" s="32">
        <v>7</v>
      </c>
      <c r="F27" s="32">
        <v>7</v>
      </c>
      <c r="G27" s="32">
        <v>6</v>
      </c>
      <c r="H27" s="32">
        <v>4</v>
      </c>
      <c r="I27" s="32">
        <v>5</v>
      </c>
      <c r="J27" s="32">
        <v>6</v>
      </c>
      <c r="K27" s="35" cm="1">
        <f t="array" ref="K27">SUM(B27:J27)</f>
        <v>49</v>
      </c>
      <c r="L27" s="35">
        <v>14</v>
      </c>
      <c r="M27" s="35" cm="1">
        <f t="array" ref="M27">K27-L27</f>
        <v>35</v>
      </c>
      <c r="N27" s="32">
        <v>5</v>
      </c>
      <c r="O27" s="32">
        <v>6</v>
      </c>
      <c r="P27" s="32">
        <v>4</v>
      </c>
      <c r="Q27" s="32">
        <v>6</v>
      </c>
      <c r="R27" s="32">
        <v>4</v>
      </c>
      <c r="S27" s="38">
        <v>4</v>
      </c>
      <c r="T27" s="38">
        <v>3</v>
      </c>
      <c r="U27" s="32">
        <v>5</v>
      </c>
      <c r="V27" s="32">
        <v>4</v>
      </c>
      <c r="W27" s="35" cm="1">
        <f t="array" ref="W27">SUM(N27:V27)</f>
        <v>41</v>
      </c>
      <c r="X27" s="35">
        <v>14</v>
      </c>
      <c r="Y27" s="35" cm="1">
        <f t="array" ref="Y27">W27-X27</f>
        <v>27</v>
      </c>
      <c r="Z27" s="10"/>
    </row>
    <row r="28" ht="13.55" customHeight="1">
      <c r="A28" t="s" s="9">
        <v>11</v>
      </c>
      <c r="B28" s="32">
        <v>5</v>
      </c>
      <c r="C28" s="32">
        <v>6</v>
      </c>
      <c r="D28" s="38">
        <v>4</v>
      </c>
      <c r="E28" s="32">
        <v>5</v>
      </c>
      <c r="F28" s="32">
        <v>5</v>
      </c>
      <c r="G28" s="32">
        <v>9</v>
      </c>
      <c r="H28" s="32">
        <v>3</v>
      </c>
      <c r="I28" s="32">
        <v>4</v>
      </c>
      <c r="J28" s="32">
        <v>5</v>
      </c>
      <c r="K28" s="35" cm="1">
        <f t="array" ref="K28">SUM(B28:J28)</f>
        <v>46</v>
      </c>
      <c r="L28" s="35">
        <v>6</v>
      </c>
      <c r="M28" s="35" cm="1">
        <f t="array" ref="M28">K28-L28</f>
        <v>40</v>
      </c>
      <c r="N28" s="37"/>
      <c r="O28" s="37"/>
      <c r="P28" s="37"/>
      <c r="Q28" s="37"/>
      <c r="R28" s="37"/>
      <c r="S28" s="39"/>
      <c r="T28" s="39"/>
      <c r="U28" s="37"/>
      <c r="V28" s="37"/>
      <c r="W28" s="35" cm="1">
        <f t="array" ref="W28">SUM(N28:V28)</f>
        <v>0</v>
      </c>
      <c r="X28" s="35">
        <v>6</v>
      </c>
      <c r="Y28" s="35" cm="1">
        <f t="array" ref="Y28">W28-X28</f>
        <v>-6</v>
      </c>
      <c r="Z28" s="10"/>
    </row>
    <row r="29" ht="13.55" customHeight="1">
      <c r="A29" t="s" s="9">
        <v>12</v>
      </c>
      <c r="B29" s="32">
        <v>5</v>
      </c>
      <c r="C29" s="32">
        <v>7</v>
      </c>
      <c r="D29" s="38">
        <v>4</v>
      </c>
      <c r="E29" s="32">
        <v>5</v>
      </c>
      <c r="F29" s="32">
        <v>6</v>
      </c>
      <c r="G29" s="32">
        <v>6</v>
      </c>
      <c r="H29" s="32">
        <v>5</v>
      </c>
      <c r="I29" s="32">
        <v>6</v>
      </c>
      <c r="J29" s="32">
        <v>7</v>
      </c>
      <c r="K29" s="35" cm="1">
        <f t="array" ref="K29">SUM(B29:J29)</f>
        <v>51</v>
      </c>
      <c r="L29" s="35">
        <v>24</v>
      </c>
      <c r="M29" s="35" cm="1">
        <f t="array" ref="M29">K29-L29</f>
        <v>27</v>
      </c>
      <c r="N29" s="32">
        <v>6</v>
      </c>
      <c r="O29" s="32">
        <v>7</v>
      </c>
      <c r="P29" s="32">
        <v>5</v>
      </c>
      <c r="Q29" s="32">
        <v>7</v>
      </c>
      <c r="R29" s="32">
        <v>6</v>
      </c>
      <c r="S29" s="38">
        <v>4</v>
      </c>
      <c r="T29" s="38">
        <v>4</v>
      </c>
      <c r="U29" s="32">
        <v>8</v>
      </c>
      <c r="V29" s="32">
        <v>6</v>
      </c>
      <c r="W29" s="35" cm="1">
        <f t="array" ref="W29">SUM(N29:V29)</f>
        <v>53</v>
      </c>
      <c r="X29" s="35">
        <v>24</v>
      </c>
      <c r="Y29" s="35" cm="1">
        <f t="array" ref="Y29">W29-X29</f>
        <v>29</v>
      </c>
      <c r="Z29" s="10"/>
    </row>
    <row r="30" ht="13.55" customHeight="1">
      <c r="A30" t="s" s="9">
        <v>13</v>
      </c>
      <c r="B30" s="32">
        <v>5</v>
      </c>
      <c r="C30" s="32">
        <v>8</v>
      </c>
      <c r="D30" s="38">
        <v>4</v>
      </c>
      <c r="E30" s="32">
        <v>4</v>
      </c>
      <c r="F30" s="32">
        <v>6</v>
      </c>
      <c r="G30" s="32">
        <v>6</v>
      </c>
      <c r="H30" s="32">
        <v>3</v>
      </c>
      <c r="I30" s="32">
        <v>5</v>
      </c>
      <c r="J30" s="32">
        <v>4</v>
      </c>
      <c r="K30" s="35" cm="1">
        <f t="array" ref="K30">SUM(B30:J30)</f>
        <v>45</v>
      </c>
      <c r="L30" s="35">
        <v>8</v>
      </c>
      <c r="M30" s="35" cm="1">
        <f t="array" ref="M30">K30-L30</f>
        <v>37</v>
      </c>
      <c r="N30" s="32">
        <v>5</v>
      </c>
      <c r="O30" s="32">
        <v>6</v>
      </c>
      <c r="P30" s="32">
        <v>5</v>
      </c>
      <c r="Q30" s="32">
        <v>5</v>
      </c>
      <c r="R30" s="32">
        <v>4</v>
      </c>
      <c r="S30" s="38">
        <v>3</v>
      </c>
      <c r="T30" s="38">
        <v>4</v>
      </c>
      <c r="U30" s="32">
        <v>4</v>
      </c>
      <c r="V30" s="32">
        <v>4</v>
      </c>
      <c r="W30" s="35" cm="1">
        <f t="array" ref="W30">SUM(N30:V30)</f>
        <v>40</v>
      </c>
      <c r="X30" s="35">
        <v>8</v>
      </c>
      <c r="Y30" s="35" cm="1">
        <f t="array" ref="Y30">W30-X30</f>
        <v>32</v>
      </c>
      <c r="Z30" s="10"/>
    </row>
    <row r="31" ht="13.55" customHeight="1">
      <c r="A31" t="s" s="9">
        <v>14</v>
      </c>
      <c r="B31" s="32">
        <v>3</v>
      </c>
      <c r="C31" s="32">
        <v>6</v>
      </c>
      <c r="D31" s="38">
        <v>3</v>
      </c>
      <c r="E31" s="32">
        <v>4</v>
      </c>
      <c r="F31" s="32">
        <v>6</v>
      </c>
      <c r="G31" s="32">
        <v>7</v>
      </c>
      <c r="H31" s="32">
        <v>2</v>
      </c>
      <c r="I31" s="32">
        <v>3</v>
      </c>
      <c r="J31" s="32">
        <v>4</v>
      </c>
      <c r="K31" s="35" cm="1">
        <f t="array" ref="K31">SUM(B31:J31)</f>
        <v>38</v>
      </c>
      <c r="L31" s="35">
        <v>9</v>
      </c>
      <c r="M31" s="35" cm="1">
        <f t="array" ref="M31">K31-L31</f>
        <v>29</v>
      </c>
      <c r="N31" s="32">
        <v>6</v>
      </c>
      <c r="O31" s="32">
        <v>7</v>
      </c>
      <c r="P31" s="32">
        <v>5</v>
      </c>
      <c r="Q31" s="32">
        <v>3</v>
      </c>
      <c r="R31" s="32">
        <v>3</v>
      </c>
      <c r="S31" s="38">
        <v>3</v>
      </c>
      <c r="T31" s="38">
        <v>6</v>
      </c>
      <c r="U31" s="32">
        <v>5</v>
      </c>
      <c r="V31" s="32">
        <v>4</v>
      </c>
      <c r="W31" s="35" cm="1">
        <f t="array" ref="W31">SUM(N31:V31)</f>
        <v>42</v>
      </c>
      <c r="X31" s="35">
        <v>9</v>
      </c>
      <c r="Y31" s="35" cm="1">
        <f t="array" ref="Y31">W31-X31</f>
        <v>33</v>
      </c>
      <c r="Z31" s="10"/>
    </row>
    <row r="32" ht="13.55" customHeight="1">
      <c r="A32" t="s" s="9">
        <v>15</v>
      </c>
      <c r="B32" s="32">
        <v>7</v>
      </c>
      <c r="C32" s="32">
        <v>7</v>
      </c>
      <c r="D32" s="38">
        <v>3</v>
      </c>
      <c r="E32" s="32">
        <v>6</v>
      </c>
      <c r="F32" s="32">
        <v>6</v>
      </c>
      <c r="G32" s="32">
        <v>6</v>
      </c>
      <c r="H32" s="32">
        <v>3</v>
      </c>
      <c r="I32" s="32">
        <v>5</v>
      </c>
      <c r="J32" s="32">
        <v>4</v>
      </c>
      <c r="K32" s="35" cm="1">
        <f t="array" ref="K32">SUM(B32:J32)</f>
        <v>47</v>
      </c>
      <c r="L32" s="35">
        <v>11</v>
      </c>
      <c r="M32" s="35" cm="1">
        <f t="array" ref="M32">K32-L32</f>
        <v>36</v>
      </c>
      <c r="N32" s="32">
        <v>6</v>
      </c>
      <c r="O32" s="32">
        <v>5</v>
      </c>
      <c r="P32" s="32">
        <v>4</v>
      </c>
      <c r="Q32" s="32">
        <v>5</v>
      </c>
      <c r="R32" s="32">
        <v>6</v>
      </c>
      <c r="S32" s="38">
        <v>4</v>
      </c>
      <c r="T32" s="38">
        <v>4</v>
      </c>
      <c r="U32" s="32">
        <v>5</v>
      </c>
      <c r="V32" s="32">
        <v>5</v>
      </c>
      <c r="W32" s="35" cm="1">
        <f t="array" ref="W32">SUM(N32:V32)</f>
        <v>44</v>
      </c>
      <c r="X32" s="35">
        <v>11</v>
      </c>
      <c r="Y32" s="35" cm="1">
        <f t="array" ref="Y32">W32-X32</f>
        <v>33</v>
      </c>
      <c r="Z32" s="10"/>
    </row>
    <row r="33" ht="13.55" customHeight="1">
      <c r="A33" t="s" s="9">
        <v>16</v>
      </c>
      <c r="B33" s="37"/>
      <c r="C33" s="37"/>
      <c r="D33" s="39"/>
      <c r="E33" s="37"/>
      <c r="F33" s="37"/>
      <c r="G33" s="37"/>
      <c r="H33" s="37"/>
      <c r="I33" s="37"/>
      <c r="J33" s="37"/>
      <c r="K33" s="35" cm="1">
        <f t="array" ref="K33">SUM(B33:J33)</f>
        <v>0</v>
      </c>
      <c r="L33" s="35">
        <v>25</v>
      </c>
      <c r="M33" s="35" cm="1">
        <f t="array" ref="M33">K33-L33</f>
        <v>-25</v>
      </c>
      <c r="N33" s="32">
        <v>12</v>
      </c>
      <c r="O33" s="32">
        <v>8</v>
      </c>
      <c r="P33" s="32">
        <v>5</v>
      </c>
      <c r="Q33" s="32">
        <v>6</v>
      </c>
      <c r="R33" s="32">
        <v>7</v>
      </c>
      <c r="S33" s="38">
        <v>5</v>
      </c>
      <c r="T33" s="38">
        <v>15</v>
      </c>
      <c r="U33" s="32">
        <v>8</v>
      </c>
      <c r="V33" s="32">
        <v>7</v>
      </c>
      <c r="W33" s="35" cm="1">
        <f t="array" ref="W33">SUM(N33:V33)</f>
        <v>73</v>
      </c>
      <c r="X33" s="35">
        <v>25</v>
      </c>
      <c r="Y33" s="35" cm="1">
        <f t="array" ref="Y33">W33-X33</f>
        <v>48</v>
      </c>
      <c r="Z33" s="10"/>
    </row>
    <row r="34" ht="13.55" customHeight="1">
      <c r="A34" s="14"/>
      <c r="B34" s="14"/>
      <c r="C34" s="53"/>
      <c r="D34" t="s" s="55">
        <v>79</v>
      </c>
      <c r="E34" s="54"/>
      <c r="F34" s="14"/>
      <c r="G34" s="53"/>
      <c r="H34" t="s" s="9">
        <v>80</v>
      </c>
      <c r="I34" s="54"/>
      <c r="J34" s="14"/>
      <c r="K34" s="14"/>
      <c r="L34" s="14"/>
      <c r="M34" s="14"/>
      <c r="N34" s="14"/>
      <c r="O34" s="14"/>
      <c r="P34" s="14"/>
      <c r="Q34" s="58"/>
      <c r="R34" s="61"/>
      <c r="S34" t="s" s="55">
        <v>81</v>
      </c>
      <c r="T34" t="s" s="55">
        <v>82</v>
      </c>
      <c r="U34" s="54"/>
      <c r="V34" s="14"/>
      <c r="W34" s="14"/>
      <c r="X34" s="14"/>
      <c r="Y34" s="14"/>
      <c r="Z34" s="8"/>
    </row>
    <row r="35" ht="13.55" customHeight="1">
      <c r="A35" s="7"/>
      <c r="B35" s="7"/>
      <c r="C35" s="7"/>
      <c r="D35" s="29"/>
      <c r="E35" s="7"/>
      <c r="F35" s="7"/>
      <c r="G35" s="7"/>
      <c r="H35" s="29"/>
      <c r="I35" s="7"/>
      <c r="J35" s="7"/>
      <c r="K35" s="7"/>
      <c r="L35" s="7"/>
      <c r="M35" s="7"/>
      <c r="N35" s="7"/>
      <c r="O35" s="7"/>
      <c r="P35" s="7"/>
      <c r="Q35" s="7"/>
      <c r="R35" s="7"/>
      <c r="S35" s="29"/>
      <c r="T35" s="29"/>
      <c r="U35" s="7"/>
      <c r="V35" s="7"/>
      <c r="W35" s="7"/>
      <c r="X35" s="7"/>
      <c r="Y35" s="7"/>
      <c r="Z35" s="8"/>
    </row>
    <row r="36" ht="13.55" customHeight="1">
      <c r="A36" t="s" s="9">
        <v>83</v>
      </c>
      <c r="B36" s="35">
        <v>1</v>
      </c>
      <c r="C36" s="35">
        <v>2</v>
      </c>
      <c r="D36" s="35">
        <v>3</v>
      </c>
      <c r="E36" s="35">
        <v>4</v>
      </c>
      <c r="F36" s="35">
        <v>5</v>
      </c>
      <c r="G36" s="35">
        <v>6</v>
      </c>
      <c r="H36" s="35">
        <v>7</v>
      </c>
      <c r="I36" s="35">
        <v>8</v>
      </c>
      <c r="J36" s="49">
        <v>9</v>
      </c>
      <c r="K36" t="s" s="9">
        <v>9</v>
      </c>
      <c r="L36" t="s" s="9">
        <v>62</v>
      </c>
      <c r="M36" t="s" s="9">
        <v>63</v>
      </c>
      <c r="N36" s="35">
        <v>10</v>
      </c>
      <c r="O36" s="35">
        <v>11</v>
      </c>
      <c r="P36" s="35">
        <v>12</v>
      </c>
      <c r="Q36" s="35">
        <v>13</v>
      </c>
      <c r="R36" s="35">
        <v>14</v>
      </c>
      <c r="S36" s="35">
        <v>15</v>
      </c>
      <c r="T36" s="35">
        <v>16</v>
      </c>
      <c r="U36" s="49">
        <v>17</v>
      </c>
      <c r="V36" s="35">
        <v>18</v>
      </c>
      <c r="W36" t="s" s="9">
        <v>9</v>
      </c>
      <c r="X36" t="s" s="9">
        <v>62</v>
      </c>
      <c r="Y36" t="s" s="9">
        <v>63</v>
      </c>
      <c r="Z36" s="10"/>
    </row>
    <row r="37" ht="13.55" customHeight="1">
      <c r="A37" t="s" s="9">
        <v>64</v>
      </c>
      <c r="B37" s="35">
        <v>4</v>
      </c>
      <c r="C37" s="35">
        <v>4</v>
      </c>
      <c r="D37" s="35">
        <v>4</v>
      </c>
      <c r="E37" s="35">
        <v>5</v>
      </c>
      <c r="F37" s="35">
        <v>3</v>
      </c>
      <c r="G37" s="35">
        <v>4</v>
      </c>
      <c r="H37" s="35">
        <v>4</v>
      </c>
      <c r="I37" s="35">
        <v>5</v>
      </c>
      <c r="J37" s="49">
        <v>3</v>
      </c>
      <c r="K37" s="35" cm="1">
        <f t="array" ref="K37">SUM(B37:J37)</f>
        <v>36</v>
      </c>
      <c r="L37" s="50"/>
      <c r="M37" s="50"/>
      <c r="N37" s="35">
        <v>4</v>
      </c>
      <c r="O37" s="35">
        <v>4</v>
      </c>
      <c r="P37" s="35">
        <v>3</v>
      </c>
      <c r="Q37" s="35">
        <v>5</v>
      </c>
      <c r="R37" s="35">
        <v>4</v>
      </c>
      <c r="S37" s="35">
        <v>5</v>
      </c>
      <c r="T37" s="35">
        <v>4</v>
      </c>
      <c r="U37" s="49">
        <v>3</v>
      </c>
      <c r="V37" s="35">
        <v>4</v>
      </c>
      <c r="W37" s="35" cm="1">
        <f t="array" ref="W37">SUM(N37:V37)</f>
        <v>36</v>
      </c>
      <c r="X37" s="51"/>
      <c r="Y37" s="50"/>
      <c r="Z37" s="10"/>
    </row>
    <row r="38" ht="13.55" customHeight="1">
      <c r="A38" t="s" s="9">
        <v>6</v>
      </c>
      <c r="B38" s="52"/>
      <c r="C38" s="52"/>
      <c r="D38" s="52"/>
      <c r="E38" s="52"/>
      <c r="F38" s="52"/>
      <c r="G38" s="52"/>
      <c r="H38" s="52"/>
      <c r="I38" s="52"/>
      <c r="J38" s="52"/>
      <c r="K38" s="52"/>
      <c r="L38" s="52"/>
      <c r="M38" s="52"/>
      <c r="N38" s="52"/>
      <c r="O38" s="52"/>
      <c r="P38" s="52"/>
      <c r="Q38" s="52"/>
      <c r="R38" s="52"/>
      <c r="S38" s="52"/>
      <c r="T38" s="52"/>
      <c r="U38" s="52"/>
      <c r="V38" s="52"/>
      <c r="W38" s="52"/>
      <c r="X38" s="52"/>
      <c r="Y38" s="52"/>
      <c r="Z38" s="10"/>
    </row>
    <row r="39" ht="13.55" customHeight="1">
      <c r="A39" t="s" s="9">
        <v>10</v>
      </c>
      <c r="B39" s="32">
        <v>5</v>
      </c>
      <c r="C39" s="32">
        <v>5</v>
      </c>
      <c r="D39" s="32">
        <v>8</v>
      </c>
      <c r="E39" s="32">
        <v>8</v>
      </c>
      <c r="F39" s="32">
        <v>4</v>
      </c>
      <c r="G39" s="32">
        <v>5</v>
      </c>
      <c r="H39" s="32">
        <v>4</v>
      </c>
      <c r="I39" s="32">
        <v>10</v>
      </c>
      <c r="J39" s="38">
        <v>6</v>
      </c>
      <c r="K39" s="35" cm="1">
        <f t="array" ref="K39">SUM(B39:J39)</f>
        <v>55</v>
      </c>
      <c r="L39" s="35">
        <v>24</v>
      </c>
      <c r="M39" s="35" cm="1">
        <f t="array" ref="M39">K39-L39</f>
        <v>31</v>
      </c>
      <c r="N39" s="32">
        <v>5</v>
      </c>
      <c r="O39" s="32">
        <v>5</v>
      </c>
      <c r="P39" s="32">
        <v>4</v>
      </c>
      <c r="Q39" s="32">
        <v>14</v>
      </c>
      <c r="R39" s="32">
        <v>6</v>
      </c>
      <c r="S39" s="32">
        <v>8</v>
      </c>
      <c r="T39" s="32">
        <v>5</v>
      </c>
      <c r="U39" s="38">
        <v>4</v>
      </c>
      <c r="V39" s="32">
        <v>9</v>
      </c>
      <c r="W39" s="35" cm="1">
        <f t="array" ref="W39">SUM(N39:V39)</f>
        <v>60</v>
      </c>
      <c r="X39" s="35">
        <v>24</v>
      </c>
      <c r="Y39" s="35" cm="1">
        <f t="array" ref="Y39">W39-X39</f>
        <v>36</v>
      </c>
      <c r="Z39" s="10"/>
    </row>
    <row r="40" ht="13.55" customHeight="1">
      <c r="A40" t="s" s="9">
        <v>17</v>
      </c>
      <c r="B40" s="32">
        <v>5</v>
      </c>
      <c r="C40" s="32">
        <v>7</v>
      </c>
      <c r="D40" s="32">
        <v>7</v>
      </c>
      <c r="E40" s="32">
        <v>8</v>
      </c>
      <c r="F40" s="32">
        <v>3</v>
      </c>
      <c r="G40" s="32">
        <v>5</v>
      </c>
      <c r="H40" s="32">
        <v>6</v>
      </c>
      <c r="I40" s="32">
        <v>6</v>
      </c>
      <c r="J40" s="38">
        <v>4</v>
      </c>
      <c r="K40" s="35" cm="1">
        <f t="array" ref="K40">SUM(B40:J40)</f>
        <v>51</v>
      </c>
      <c r="L40" s="35">
        <v>14</v>
      </c>
      <c r="M40" s="35" cm="1">
        <f t="array" ref="M40">K40-L40</f>
        <v>37</v>
      </c>
      <c r="N40" s="32">
        <v>5</v>
      </c>
      <c r="O40" s="32">
        <v>4</v>
      </c>
      <c r="P40" s="32">
        <v>5</v>
      </c>
      <c r="Q40" s="32">
        <v>8</v>
      </c>
      <c r="R40" s="32">
        <v>5</v>
      </c>
      <c r="S40" s="32">
        <v>6</v>
      </c>
      <c r="T40" s="32">
        <v>6</v>
      </c>
      <c r="U40" s="38">
        <v>3</v>
      </c>
      <c r="V40" s="32">
        <v>5</v>
      </c>
      <c r="W40" s="35" cm="1">
        <f t="array" ref="W40">SUM(N40:V40)</f>
        <v>47</v>
      </c>
      <c r="X40" s="35">
        <v>14</v>
      </c>
      <c r="Y40" s="35" cm="1">
        <f t="array" ref="Y40">W40-X40</f>
        <v>33</v>
      </c>
      <c r="Z40" s="10"/>
    </row>
    <row r="41" ht="13.55" customHeight="1">
      <c r="A41" t="s" s="9">
        <v>11</v>
      </c>
      <c r="B41" s="37"/>
      <c r="C41" s="37"/>
      <c r="D41" s="37"/>
      <c r="E41" s="37"/>
      <c r="F41" s="37"/>
      <c r="G41" s="37"/>
      <c r="H41" s="37"/>
      <c r="I41" s="37"/>
      <c r="J41" s="39"/>
      <c r="K41" s="35" cm="1">
        <f t="array" ref="K41">SUM(B41:J41)</f>
        <v>0</v>
      </c>
      <c r="L41" s="35">
        <v>6</v>
      </c>
      <c r="M41" s="35" cm="1">
        <f t="array" ref="M41">K41-L41</f>
        <v>-6</v>
      </c>
      <c r="N41" s="32">
        <v>5</v>
      </c>
      <c r="O41" s="32">
        <v>4</v>
      </c>
      <c r="P41" s="32">
        <v>3</v>
      </c>
      <c r="Q41" s="32">
        <v>8</v>
      </c>
      <c r="R41" s="32">
        <v>3</v>
      </c>
      <c r="S41" s="32">
        <v>6</v>
      </c>
      <c r="T41" s="32">
        <v>4</v>
      </c>
      <c r="U41" s="38">
        <v>6</v>
      </c>
      <c r="V41" s="32">
        <v>8</v>
      </c>
      <c r="W41" s="35" cm="1">
        <f t="array" ref="W41">SUM(N41:V41)</f>
        <v>47</v>
      </c>
      <c r="X41" s="35">
        <v>6</v>
      </c>
      <c r="Y41" s="35" cm="1">
        <f t="array" ref="Y41">W41-X41</f>
        <v>41</v>
      </c>
      <c r="Z41" s="10"/>
    </row>
    <row r="42" ht="13.55" customHeight="1">
      <c r="A42" t="s" s="9">
        <v>12</v>
      </c>
      <c r="B42" s="37"/>
      <c r="C42" s="37"/>
      <c r="D42" s="37"/>
      <c r="E42" s="37"/>
      <c r="F42" s="37"/>
      <c r="G42" s="37"/>
      <c r="H42" s="37"/>
      <c r="I42" s="37"/>
      <c r="J42" s="39"/>
      <c r="K42" s="35" cm="1">
        <f t="array" ref="K42">SUM(B42:J42)</f>
        <v>0</v>
      </c>
      <c r="L42" s="35">
        <v>24</v>
      </c>
      <c r="M42" s="35" cm="1">
        <f t="array" ref="M42">K42-L42</f>
        <v>-24</v>
      </c>
      <c r="N42" s="32">
        <v>5</v>
      </c>
      <c r="O42" s="32">
        <v>8</v>
      </c>
      <c r="P42" s="32">
        <v>4</v>
      </c>
      <c r="Q42" s="32">
        <v>7</v>
      </c>
      <c r="R42" s="32">
        <v>7</v>
      </c>
      <c r="S42" s="32">
        <v>5</v>
      </c>
      <c r="T42" s="32">
        <v>5</v>
      </c>
      <c r="U42" s="38">
        <v>4</v>
      </c>
      <c r="V42" s="32">
        <v>5</v>
      </c>
      <c r="W42" s="35" cm="1">
        <f t="array" ref="W42">SUM(N42:V42)</f>
        <v>50</v>
      </c>
      <c r="X42" s="35">
        <v>24</v>
      </c>
      <c r="Y42" s="35" cm="1">
        <f t="array" ref="Y42">W42-X42</f>
        <v>26</v>
      </c>
      <c r="Z42" s="10"/>
    </row>
    <row r="43" ht="13.55" customHeight="1">
      <c r="A43" t="s" s="9">
        <v>13</v>
      </c>
      <c r="B43" s="32">
        <v>5</v>
      </c>
      <c r="C43" s="32">
        <v>5</v>
      </c>
      <c r="D43" s="32">
        <v>4</v>
      </c>
      <c r="E43" s="32">
        <v>4</v>
      </c>
      <c r="F43" s="32">
        <v>2</v>
      </c>
      <c r="G43" s="32">
        <v>4</v>
      </c>
      <c r="H43" s="32">
        <v>5</v>
      </c>
      <c r="I43" s="32">
        <v>7</v>
      </c>
      <c r="J43" s="38">
        <v>2</v>
      </c>
      <c r="K43" s="35" cm="1">
        <f t="array" ref="K43">SUM(B43:J43)</f>
        <v>38</v>
      </c>
      <c r="L43" s="35">
        <v>8</v>
      </c>
      <c r="M43" s="35" cm="1">
        <f t="array" ref="M43">K43-L43</f>
        <v>30</v>
      </c>
      <c r="N43" s="32">
        <v>4</v>
      </c>
      <c r="O43" s="32">
        <v>5</v>
      </c>
      <c r="P43" s="32">
        <v>3</v>
      </c>
      <c r="Q43" s="32">
        <v>6</v>
      </c>
      <c r="R43" s="32">
        <v>4</v>
      </c>
      <c r="S43" s="32">
        <v>6</v>
      </c>
      <c r="T43" s="32">
        <v>6</v>
      </c>
      <c r="U43" s="38">
        <v>3</v>
      </c>
      <c r="V43" s="32">
        <v>4</v>
      </c>
      <c r="W43" s="35" cm="1">
        <f t="array" ref="W43">SUM(N43:V43)</f>
        <v>41</v>
      </c>
      <c r="X43" s="35">
        <v>8</v>
      </c>
      <c r="Y43" s="35" cm="1">
        <f t="array" ref="Y43">W43-X43</f>
        <v>33</v>
      </c>
      <c r="Z43" s="10"/>
    </row>
    <row r="44" ht="13.55" customHeight="1">
      <c r="A44" t="s" s="9">
        <v>14</v>
      </c>
      <c r="B44" s="32">
        <v>4</v>
      </c>
      <c r="C44" s="32">
        <v>5</v>
      </c>
      <c r="D44" s="32">
        <v>5</v>
      </c>
      <c r="E44" s="32">
        <v>3</v>
      </c>
      <c r="F44" s="32">
        <v>4</v>
      </c>
      <c r="G44" s="32">
        <v>5</v>
      </c>
      <c r="H44" s="32">
        <v>5</v>
      </c>
      <c r="I44" s="32">
        <v>6</v>
      </c>
      <c r="J44" s="38">
        <v>4</v>
      </c>
      <c r="K44" s="35" cm="1">
        <f t="array" ref="K44">SUM(B44:J44)</f>
        <v>41</v>
      </c>
      <c r="L44" s="35">
        <v>9</v>
      </c>
      <c r="M44" s="35" cm="1">
        <f t="array" ref="M44">K44-L44</f>
        <v>32</v>
      </c>
      <c r="N44" s="32">
        <v>5</v>
      </c>
      <c r="O44" s="32">
        <v>10</v>
      </c>
      <c r="P44" s="32">
        <v>3</v>
      </c>
      <c r="Q44" s="32">
        <v>5</v>
      </c>
      <c r="R44" s="32">
        <v>5</v>
      </c>
      <c r="S44" s="32">
        <v>5</v>
      </c>
      <c r="T44" s="32">
        <v>5</v>
      </c>
      <c r="U44" s="38">
        <v>3</v>
      </c>
      <c r="V44" s="32">
        <v>5</v>
      </c>
      <c r="W44" s="35" cm="1">
        <f t="array" ref="W44">SUM(N44:V44)</f>
        <v>46</v>
      </c>
      <c r="X44" s="35">
        <v>9</v>
      </c>
      <c r="Y44" s="35" cm="1">
        <f t="array" ref="Y44">W44-X44</f>
        <v>37</v>
      </c>
      <c r="Z44" s="10"/>
    </row>
    <row r="45" ht="13.55" customHeight="1">
      <c r="A45" t="s" s="9">
        <v>15</v>
      </c>
      <c r="B45" s="32">
        <v>4</v>
      </c>
      <c r="C45" s="32">
        <v>5</v>
      </c>
      <c r="D45" s="32">
        <v>4</v>
      </c>
      <c r="E45" s="32">
        <v>5</v>
      </c>
      <c r="F45" s="32">
        <v>5</v>
      </c>
      <c r="G45" s="32">
        <v>6</v>
      </c>
      <c r="H45" s="32">
        <v>5</v>
      </c>
      <c r="I45" s="32">
        <v>4</v>
      </c>
      <c r="J45" s="38">
        <v>4</v>
      </c>
      <c r="K45" s="35" cm="1">
        <f t="array" ref="K45">SUM(B45:J45)</f>
        <v>42</v>
      </c>
      <c r="L45" s="35">
        <v>11</v>
      </c>
      <c r="M45" s="35" cm="1">
        <f t="array" ref="M45">K45-L45</f>
        <v>31</v>
      </c>
      <c r="N45" s="32">
        <v>5</v>
      </c>
      <c r="O45" s="32">
        <v>5</v>
      </c>
      <c r="P45" s="32">
        <v>4</v>
      </c>
      <c r="Q45" s="32">
        <v>7</v>
      </c>
      <c r="R45" s="32">
        <v>5</v>
      </c>
      <c r="S45" s="32">
        <v>6</v>
      </c>
      <c r="T45" s="32">
        <v>5</v>
      </c>
      <c r="U45" s="38">
        <v>4</v>
      </c>
      <c r="V45" s="32">
        <v>6</v>
      </c>
      <c r="W45" s="35" cm="1">
        <f t="array" ref="W45">SUM(N45:V45)</f>
        <v>47</v>
      </c>
      <c r="X45" s="35">
        <v>11</v>
      </c>
      <c r="Y45" s="35" cm="1">
        <f t="array" ref="Y45">W45-X45</f>
        <v>36</v>
      </c>
      <c r="Z45" s="10"/>
    </row>
    <row r="46" ht="13.55" customHeight="1">
      <c r="A46" t="s" s="9">
        <v>16</v>
      </c>
      <c r="B46" s="32">
        <v>6</v>
      </c>
      <c r="C46" s="32">
        <v>5</v>
      </c>
      <c r="D46" s="32">
        <v>7</v>
      </c>
      <c r="E46" s="32">
        <v>7</v>
      </c>
      <c r="F46" s="32">
        <v>4</v>
      </c>
      <c r="G46" s="32">
        <v>7</v>
      </c>
      <c r="H46" s="32">
        <v>5</v>
      </c>
      <c r="I46" s="32">
        <v>9</v>
      </c>
      <c r="J46" s="38">
        <v>4</v>
      </c>
      <c r="K46" s="35" cm="1">
        <f t="array" ref="K46">SUM(B46:J46)</f>
        <v>54</v>
      </c>
      <c r="L46" s="35">
        <v>25</v>
      </c>
      <c r="M46" s="35" cm="1">
        <f t="array" ref="M46">K46-L46</f>
        <v>29</v>
      </c>
      <c r="N46" s="32">
        <v>7</v>
      </c>
      <c r="O46" s="32">
        <v>5</v>
      </c>
      <c r="P46" s="32">
        <v>4</v>
      </c>
      <c r="Q46" s="32">
        <v>12</v>
      </c>
      <c r="R46" s="32">
        <v>8</v>
      </c>
      <c r="S46" s="32">
        <v>6</v>
      </c>
      <c r="T46" s="32">
        <v>7</v>
      </c>
      <c r="U46" s="38">
        <v>5</v>
      </c>
      <c r="V46" s="32">
        <v>6</v>
      </c>
      <c r="W46" s="35" cm="1">
        <f t="array" ref="W46">SUM(N46:V46)</f>
        <v>60</v>
      </c>
      <c r="X46" s="35">
        <v>25</v>
      </c>
      <c r="Y46" s="35" cm="1">
        <f t="array" ref="Y46">W46-X46</f>
        <v>35</v>
      </c>
      <c r="Z46" s="10"/>
    </row>
    <row r="47" ht="13.55" customHeight="1">
      <c r="A47" s="14"/>
      <c r="B47" s="14"/>
      <c r="C47" s="14"/>
      <c r="D47" s="14"/>
      <c r="E47" s="53"/>
      <c r="F47" t="s" s="9">
        <v>84</v>
      </c>
      <c r="G47" s="54"/>
      <c r="H47" s="14"/>
      <c r="I47" s="53"/>
      <c r="J47" t="s" s="55">
        <v>85</v>
      </c>
      <c r="K47" s="54"/>
      <c r="L47" s="14"/>
      <c r="M47" s="14"/>
      <c r="N47" s="14"/>
      <c r="O47" s="53"/>
      <c r="P47" t="s" s="9">
        <v>86</v>
      </c>
      <c r="Q47" s="54"/>
      <c r="R47" s="14"/>
      <c r="S47" s="14"/>
      <c r="T47" s="53"/>
      <c r="U47" t="s" s="55">
        <v>87</v>
      </c>
      <c r="V47" s="54"/>
      <c r="W47" s="14"/>
      <c r="X47" s="14"/>
      <c r="Y47" s="14"/>
      <c r="Z47" s="8"/>
    </row>
    <row r="48" ht="13.55" customHeight="1">
      <c r="A48" s="7"/>
      <c r="B48" s="7"/>
      <c r="C48" s="7"/>
      <c r="D48" s="7"/>
      <c r="E48" s="7"/>
      <c r="F48" s="29"/>
      <c r="G48" s="7"/>
      <c r="H48" s="7"/>
      <c r="I48" s="7"/>
      <c r="J48" s="29"/>
      <c r="K48" s="7"/>
      <c r="L48" s="7"/>
      <c r="M48" s="7"/>
      <c r="N48" s="7"/>
      <c r="O48" s="7"/>
      <c r="P48" s="29"/>
      <c r="Q48" s="7"/>
      <c r="R48" s="7"/>
      <c r="S48" s="7"/>
      <c r="T48" s="7"/>
      <c r="U48" s="29"/>
      <c r="V48" s="7"/>
      <c r="W48" s="7"/>
      <c r="X48" s="7"/>
      <c r="Y48" s="7"/>
      <c r="Z48" s="8"/>
    </row>
    <row r="49" ht="13.55" customHeight="1">
      <c r="A49" t="s" s="9">
        <v>88</v>
      </c>
      <c r="B49" s="35">
        <v>1</v>
      </c>
      <c r="C49" s="35">
        <v>2</v>
      </c>
      <c r="D49" s="35">
        <v>3</v>
      </c>
      <c r="E49" s="35">
        <v>4</v>
      </c>
      <c r="F49" s="35">
        <v>5</v>
      </c>
      <c r="G49" s="49">
        <v>6</v>
      </c>
      <c r="H49" s="35">
        <v>7</v>
      </c>
      <c r="I49" s="35">
        <v>8</v>
      </c>
      <c r="J49" s="35">
        <v>9</v>
      </c>
      <c r="K49" t="s" s="9">
        <v>9</v>
      </c>
      <c r="L49" t="s" s="9">
        <v>62</v>
      </c>
      <c r="M49" t="s" s="9">
        <v>63</v>
      </c>
      <c r="N49" s="49">
        <v>10</v>
      </c>
      <c r="O49" s="35">
        <v>11</v>
      </c>
      <c r="P49" s="35">
        <v>12</v>
      </c>
      <c r="Q49" s="35">
        <v>13</v>
      </c>
      <c r="R49" s="35">
        <v>14</v>
      </c>
      <c r="S49" s="35">
        <v>15</v>
      </c>
      <c r="T49" s="35">
        <v>16</v>
      </c>
      <c r="U49" s="35">
        <v>17</v>
      </c>
      <c r="V49" s="35">
        <v>18</v>
      </c>
      <c r="W49" t="s" s="9">
        <v>9</v>
      </c>
      <c r="X49" t="s" s="9">
        <v>62</v>
      </c>
      <c r="Y49" t="s" s="9">
        <v>63</v>
      </c>
      <c r="Z49" s="10"/>
    </row>
    <row r="50" ht="13.55" customHeight="1">
      <c r="A50" t="s" s="9">
        <v>64</v>
      </c>
      <c r="B50" s="35">
        <v>4</v>
      </c>
      <c r="C50" s="35">
        <v>3</v>
      </c>
      <c r="D50" s="35">
        <v>5</v>
      </c>
      <c r="E50" s="35">
        <v>4</v>
      </c>
      <c r="F50" s="35">
        <v>4</v>
      </c>
      <c r="G50" s="49">
        <v>3</v>
      </c>
      <c r="H50" s="35">
        <v>4</v>
      </c>
      <c r="I50" s="35">
        <v>5</v>
      </c>
      <c r="J50" s="35">
        <v>4</v>
      </c>
      <c r="K50" s="35" cm="1">
        <f t="array" ref="K50">SUM(B50:J50)</f>
        <v>36</v>
      </c>
      <c r="L50" s="50"/>
      <c r="M50" s="50"/>
      <c r="N50" s="49">
        <v>3</v>
      </c>
      <c r="O50" s="35">
        <v>5</v>
      </c>
      <c r="P50" s="35">
        <v>3</v>
      </c>
      <c r="Q50" s="35">
        <v>5</v>
      </c>
      <c r="R50" s="35">
        <v>4</v>
      </c>
      <c r="S50" s="35">
        <v>4</v>
      </c>
      <c r="T50" s="35">
        <v>4</v>
      </c>
      <c r="U50" s="35">
        <v>3</v>
      </c>
      <c r="V50" s="35">
        <v>4</v>
      </c>
      <c r="W50" s="35" cm="1">
        <f t="array" ref="W50">SUM(N50:V50)</f>
        <v>35</v>
      </c>
      <c r="X50" s="51"/>
      <c r="Y50" s="50"/>
      <c r="Z50" s="10"/>
    </row>
    <row r="51" ht="13.55" customHeight="1">
      <c r="A51" t="s" s="9">
        <v>6</v>
      </c>
      <c r="B51" s="52"/>
      <c r="C51" s="52"/>
      <c r="D51" s="52"/>
      <c r="E51" s="52"/>
      <c r="F51" s="52"/>
      <c r="G51" s="52"/>
      <c r="H51" s="52"/>
      <c r="I51" s="52"/>
      <c r="J51" s="52"/>
      <c r="K51" s="52"/>
      <c r="L51" s="52"/>
      <c r="M51" s="52"/>
      <c r="N51" s="52"/>
      <c r="O51" s="52"/>
      <c r="P51" s="52"/>
      <c r="Q51" s="52"/>
      <c r="R51" s="52"/>
      <c r="S51" s="52"/>
      <c r="T51" s="52"/>
      <c r="U51" s="52"/>
      <c r="V51" s="52"/>
      <c r="W51" s="52"/>
      <c r="X51" s="52"/>
      <c r="Y51" s="52"/>
      <c r="Z51" s="10"/>
    </row>
    <row r="52" ht="13.55" customHeight="1">
      <c r="A52" t="s" s="9">
        <v>10</v>
      </c>
      <c r="B52" s="32">
        <v>5</v>
      </c>
      <c r="C52" s="32">
        <v>6</v>
      </c>
      <c r="D52" s="32">
        <v>7</v>
      </c>
      <c r="E52" s="32">
        <v>6</v>
      </c>
      <c r="F52" s="32">
        <v>8</v>
      </c>
      <c r="G52" s="38">
        <v>6</v>
      </c>
      <c r="H52" s="32">
        <v>5</v>
      </c>
      <c r="I52" s="32">
        <v>9</v>
      </c>
      <c r="J52" s="32">
        <v>6</v>
      </c>
      <c r="K52" s="35" cm="1">
        <f t="array" ref="K52">SUM(B52:J52)</f>
        <v>58</v>
      </c>
      <c r="L52" s="35">
        <v>24</v>
      </c>
      <c r="M52" s="35" cm="1">
        <f t="array" ref="M52">K52-L52</f>
        <v>34</v>
      </c>
      <c r="N52" s="38">
        <v>11</v>
      </c>
      <c r="O52" s="32">
        <v>11</v>
      </c>
      <c r="P52" s="32">
        <v>4</v>
      </c>
      <c r="Q52" s="32">
        <v>8</v>
      </c>
      <c r="R52" s="32">
        <v>5</v>
      </c>
      <c r="S52" s="32">
        <v>6</v>
      </c>
      <c r="T52" s="32">
        <v>5</v>
      </c>
      <c r="U52" s="32">
        <v>4</v>
      </c>
      <c r="V52" s="32">
        <v>7</v>
      </c>
      <c r="W52" s="35" cm="1">
        <f t="array" ref="W52">SUM(N52:V52)</f>
        <v>61</v>
      </c>
      <c r="X52" s="35">
        <v>24</v>
      </c>
      <c r="Y52" s="35" cm="1">
        <f t="array" ref="Y52">W52-X52</f>
        <v>37</v>
      </c>
      <c r="Z52" s="10"/>
    </row>
    <row r="53" ht="13.55" customHeight="1">
      <c r="A53" t="s" s="9">
        <v>17</v>
      </c>
      <c r="B53" s="37"/>
      <c r="C53" s="37"/>
      <c r="D53" s="37"/>
      <c r="E53" s="37"/>
      <c r="F53" s="37"/>
      <c r="G53" s="39"/>
      <c r="H53" s="37"/>
      <c r="I53" s="37"/>
      <c r="J53" s="37"/>
      <c r="K53" s="35" cm="1">
        <f t="array" ref="K53">SUM(B53:J53)</f>
        <v>0</v>
      </c>
      <c r="L53" s="35">
        <v>14</v>
      </c>
      <c r="M53" s="35" cm="1">
        <f t="array" ref="M53">K53-L53</f>
        <v>-14</v>
      </c>
      <c r="N53" s="39"/>
      <c r="O53" s="37"/>
      <c r="P53" s="37"/>
      <c r="Q53" s="37"/>
      <c r="R53" s="37"/>
      <c r="S53" s="37"/>
      <c r="T53" s="37"/>
      <c r="U53" s="37"/>
      <c r="V53" s="37"/>
      <c r="W53" s="35" cm="1">
        <f t="array" ref="W53">SUM(N53:V53)</f>
        <v>0</v>
      </c>
      <c r="X53" s="35">
        <v>14</v>
      </c>
      <c r="Y53" s="35" cm="1">
        <f t="array" ref="Y53">W53-X53</f>
        <v>-14</v>
      </c>
      <c r="Z53" s="10"/>
    </row>
    <row r="54" ht="13.55" customHeight="1">
      <c r="A54" t="s" s="9">
        <v>11</v>
      </c>
      <c r="B54" s="32">
        <v>9</v>
      </c>
      <c r="C54" s="32">
        <v>3</v>
      </c>
      <c r="D54" s="32">
        <v>8</v>
      </c>
      <c r="E54" s="32">
        <v>5</v>
      </c>
      <c r="F54" s="32">
        <v>4</v>
      </c>
      <c r="G54" s="38">
        <v>3</v>
      </c>
      <c r="H54" s="32">
        <v>4</v>
      </c>
      <c r="I54" s="32">
        <v>5</v>
      </c>
      <c r="J54" s="32">
        <v>4</v>
      </c>
      <c r="K54" s="35" cm="1">
        <f t="array" ref="K54">SUM(B54:J54)</f>
        <v>45</v>
      </c>
      <c r="L54" s="35">
        <v>6</v>
      </c>
      <c r="M54" s="35" cm="1">
        <f t="array" ref="M54">K54-L54</f>
        <v>39</v>
      </c>
      <c r="N54" s="39"/>
      <c r="O54" s="37"/>
      <c r="P54" s="37"/>
      <c r="Q54" s="37"/>
      <c r="R54" s="37"/>
      <c r="S54" s="37"/>
      <c r="T54" s="37"/>
      <c r="U54" s="37"/>
      <c r="V54" s="37"/>
      <c r="W54" s="35" cm="1">
        <f t="array" ref="W54">SUM(N54:V54)</f>
        <v>0</v>
      </c>
      <c r="X54" s="35">
        <v>6</v>
      </c>
      <c r="Y54" s="35" cm="1">
        <f t="array" ref="Y54">W54-X54</f>
        <v>-6</v>
      </c>
      <c r="Z54" s="10"/>
    </row>
    <row r="55" ht="13.55" customHeight="1">
      <c r="A55" t="s" s="9">
        <v>12</v>
      </c>
      <c r="B55" s="37"/>
      <c r="C55" s="37"/>
      <c r="D55" s="37"/>
      <c r="E55" s="37"/>
      <c r="F55" s="37"/>
      <c r="G55" s="39"/>
      <c r="H55" s="37"/>
      <c r="I55" s="37"/>
      <c r="J55" s="37"/>
      <c r="K55" s="35" cm="1">
        <f t="array" ref="K55">SUM(B55:J55)</f>
        <v>0</v>
      </c>
      <c r="L55" s="35">
        <v>24</v>
      </c>
      <c r="M55" s="35" cm="1">
        <f t="array" ref="M55">K55-L55</f>
        <v>-24</v>
      </c>
      <c r="N55" s="39"/>
      <c r="O55" s="37"/>
      <c r="P55" s="37"/>
      <c r="Q55" s="37"/>
      <c r="R55" s="37"/>
      <c r="S55" s="37"/>
      <c r="T55" s="37"/>
      <c r="U55" s="37"/>
      <c r="V55" s="37"/>
      <c r="W55" s="35" cm="1">
        <f t="array" ref="W55">SUM(N55:V55)</f>
        <v>0</v>
      </c>
      <c r="X55" s="35">
        <v>24</v>
      </c>
      <c r="Y55" s="35" cm="1">
        <f t="array" ref="Y55">W55-X55</f>
        <v>-24</v>
      </c>
      <c r="Z55" s="10"/>
    </row>
    <row r="56" ht="13.55" customHeight="1">
      <c r="A56" t="s" s="9">
        <v>13</v>
      </c>
      <c r="B56" s="32">
        <v>6</v>
      </c>
      <c r="C56" s="32">
        <v>5</v>
      </c>
      <c r="D56" s="32">
        <v>5</v>
      </c>
      <c r="E56" s="32">
        <v>5</v>
      </c>
      <c r="F56" s="32">
        <v>5</v>
      </c>
      <c r="G56" s="38">
        <v>4</v>
      </c>
      <c r="H56" s="32">
        <v>5</v>
      </c>
      <c r="I56" s="32">
        <v>5</v>
      </c>
      <c r="J56" s="32">
        <v>5</v>
      </c>
      <c r="K56" s="35" cm="1">
        <f t="array" ref="K56">SUM(B56:J56)</f>
        <v>45</v>
      </c>
      <c r="L56" s="35">
        <v>8</v>
      </c>
      <c r="M56" s="35" cm="1">
        <f t="array" ref="M56">K56-L56</f>
        <v>37</v>
      </c>
      <c r="N56" s="38">
        <v>8</v>
      </c>
      <c r="O56" s="32">
        <v>5</v>
      </c>
      <c r="P56" s="32">
        <v>4</v>
      </c>
      <c r="Q56" s="32">
        <v>6</v>
      </c>
      <c r="R56" s="32">
        <v>7</v>
      </c>
      <c r="S56" s="32">
        <v>5</v>
      </c>
      <c r="T56" s="32">
        <v>4</v>
      </c>
      <c r="U56" s="32">
        <v>3</v>
      </c>
      <c r="V56" s="32">
        <v>5</v>
      </c>
      <c r="W56" s="35" cm="1">
        <f t="array" ref="W56">SUM(N56:V56)</f>
        <v>47</v>
      </c>
      <c r="X56" s="35">
        <v>8</v>
      </c>
      <c r="Y56" s="35" cm="1">
        <f t="array" ref="Y56">W56-X56</f>
        <v>39</v>
      </c>
      <c r="Z56" s="10"/>
    </row>
    <row r="57" ht="13.55" customHeight="1">
      <c r="A57" t="s" s="9">
        <v>14</v>
      </c>
      <c r="B57" s="32">
        <v>5</v>
      </c>
      <c r="C57" s="32">
        <v>4</v>
      </c>
      <c r="D57" s="32">
        <v>5</v>
      </c>
      <c r="E57" s="32">
        <v>5</v>
      </c>
      <c r="F57" s="32">
        <v>7</v>
      </c>
      <c r="G57" s="38">
        <v>2</v>
      </c>
      <c r="H57" s="32">
        <v>4</v>
      </c>
      <c r="I57" s="32">
        <v>4</v>
      </c>
      <c r="J57" s="32">
        <v>4</v>
      </c>
      <c r="K57" s="35" cm="1">
        <f t="array" ref="K57">SUM(B57:J57)</f>
        <v>40</v>
      </c>
      <c r="L57" s="35">
        <v>9</v>
      </c>
      <c r="M57" s="35" cm="1">
        <f t="array" ref="M57">K57-L57</f>
        <v>31</v>
      </c>
      <c r="N57" s="38">
        <v>3</v>
      </c>
      <c r="O57" s="32">
        <v>5</v>
      </c>
      <c r="P57" s="32">
        <v>3</v>
      </c>
      <c r="Q57" s="32">
        <v>6</v>
      </c>
      <c r="R57" s="32">
        <v>7</v>
      </c>
      <c r="S57" s="32">
        <v>5</v>
      </c>
      <c r="T57" s="32">
        <v>5</v>
      </c>
      <c r="U57" s="32">
        <v>4</v>
      </c>
      <c r="V57" s="32">
        <v>4</v>
      </c>
      <c r="W57" s="35" cm="1">
        <f t="array" ref="W57">SUM(N57:V57)</f>
        <v>42</v>
      </c>
      <c r="X57" s="35">
        <v>9</v>
      </c>
      <c r="Y57" s="35" cm="1">
        <f t="array" ref="Y57">W57-X57</f>
        <v>33</v>
      </c>
      <c r="Z57" s="10"/>
    </row>
    <row r="58" ht="13.55" customHeight="1">
      <c r="A58" t="s" s="9">
        <v>15</v>
      </c>
      <c r="B58" s="32">
        <v>4</v>
      </c>
      <c r="C58" s="32">
        <v>4</v>
      </c>
      <c r="D58" s="32">
        <v>6</v>
      </c>
      <c r="E58" s="32">
        <v>4</v>
      </c>
      <c r="F58" s="32">
        <v>5</v>
      </c>
      <c r="G58" s="38">
        <v>3</v>
      </c>
      <c r="H58" s="32">
        <v>4</v>
      </c>
      <c r="I58" s="32">
        <v>6</v>
      </c>
      <c r="J58" s="32">
        <v>4</v>
      </c>
      <c r="K58" s="35" cm="1">
        <f t="array" ref="K58">SUM(B58:J58)</f>
        <v>40</v>
      </c>
      <c r="L58" s="35">
        <v>11</v>
      </c>
      <c r="M58" s="35" cm="1">
        <f t="array" ref="M58">K58-L58</f>
        <v>29</v>
      </c>
      <c r="N58" s="38">
        <v>5</v>
      </c>
      <c r="O58" s="32">
        <v>6</v>
      </c>
      <c r="P58" s="32">
        <v>6</v>
      </c>
      <c r="Q58" s="32">
        <v>7</v>
      </c>
      <c r="R58" s="32">
        <v>4</v>
      </c>
      <c r="S58" s="32">
        <v>5</v>
      </c>
      <c r="T58" s="32">
        <v>6</v>
      </c>
      <c r="U58" s="32">
        <v>6</v>
      </c>
      <c r="V58" s="32">
        <v>8</v>
      </c>
      <c r="W58" s="35" cm="1">
        <f t="array" ref="W58">SUM(N58:V58)</f>
        <v>53</v>
      </c>
      <c r="X58" s="35">
        <v>11</v>
      </c>
      <c r="Y58" s="35" cm="1">
        <f t="array" ref="Y58">W58-X58</f>
        <v>42</v>
      </c>
      <c r="Z58" s="10"/>
    </row>
    <row r="59" ht="13.55" customHeight="1">
      <c r="A59" t="s" s="9">
        <v>16</v>
      </c>
      <c r="B59" s="32">
        <v>6</v>
      </c>
      <c r="C59" s="32">
        <v>6</v>
      </c>
      <c r="D59" s="32">
        <v>8</v>
      </c>
      <c r="E59" s="32">
        <v>8</v>
      </c>
      <c r="F59" s="32">
        <v>7</v>
      </c>
      <c r="G59" s="38">
        <v>5</v>
      </c>
      <c r="H59" s="32">
        <v>5</v>
      </c>
      <c r="I59" s="32">
        <v>6</v>
      </c>
      <c r="J59" s="32">
        <v>4</v>
      </c>
      <c r="K59" s="35" cm="1">
        <f t="array" ref="K59">SUM(B59:J59)</f>
        <v>55</v>
      </c>
      <c r="L59" s="35">
        <v>25</v>
      </c>
      <c r="M59" s="35" cm="1">
        <f t="array" ref="M59">K59-L59</f>
        <v>30</v>
      </c>
      <c r="N59" s="38">
        <v>4</v>
      </c>
      <c r="O59" s="32">
        <v>8</v>
      </c>
      <c r="P59" s="32">
        <v>3</v>
      </c>
      <c r="Q59" s="32">
        <v>11</v>
      </c>
      <c r="R59" s="32">
        <v>9</v>
      </c>
      <c r="S59" s="32">
        <v>6</v>
      </c>
      <c r="T59" s="32">
        <v>4</v>
      </c>
      <c r="U59" s="32">
        <v>5</v>
      </c>
      <c r="V59" s="32">
        <v>9</v>
      </c>
      <c r="W59" s="35" cm="1">
        <f t="array" ref="W59">SUM(N59:V59)</f>
        <v>59</v>
      </c>
      <c r="X59" s="35">
        <v>25</v>
      </c>
      <c r="Y59" s="35" cm="1">
        <f t="array" ref="Y59">W59-X59</f>
        <v>34</v>
      </c>
      <c r="Z59" s="10"/>
    </row>
    <row r="60" ht="13.55" customHeight="1">
      <c r="A60" s="14"/>
      <c r="B60" s="53"/>
      <c r="C60" t="s" s="9">
        <v>89</v>
      </c>
      <c r="D60" s="54"/>
      <c r="E60" s="62"/>
      <c r="F60" s="63"/>
      <c r="G60" t="s" s="55">
        <v>90</v>
      </c>
      <c r="H60" s="54"/>
      <c r="I60" s="14"/>
      <c r="J60" s="14"/>
      <c r="K60" s="14"/>
      <c r="L60" s="14"/>
      <c r="M60" s="53"/>
      <c r="N60" t="s" s="55">
        <v>91</v>
      </c>
      <c r="O60" s="64"/>
      <c r="P60" t="s" s="9">
        <v>92</v>
      </c>
      <c r="Q60" s="54"/>
      <c r="R60" s="14"/>
      <c r="S60" s="14"/>
      <c r="T60" s="57"/>
      <c r="U60" t="s" s="9">
        <v>93</v>
      </c>
      <c r="V60" s="54"/>
      <c r="W60" s="14"/>
      <c r="X60" s="14"/>
      <c r="Y60" s="14"/>
      <c r="Z60" s="8"/>
    </row>
  </sheetData>
  <mergeCells count="3">
    <mergeCell ref="A12:N12"/>
    <mergeCell ref="P12:Q12"/>
    <mergeCell ref="T12:Z1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2:B11"/>
  <sheetViews>
    <sheetView workbookViewId="0" showGridLines="0" defaultGridColor="1"/>
  </sheetViews>
  <sheetFormatPr defaultColWidth="13.3333" defaultRowHeight="17.4" customHeight="1" outlineLevelRow="0" outlineLevelCol="0"/>
  <cols>
    <col min="1" max="2" width="13.3516" style="65" customWidth="1"/>
    <col min="3" max="16384" width="13.3516" style="65" customWidth="1"/>
  </cols>
  <sheetData>
    <row r="1" ht="12.35" customHeight="1">
      <c r="A1" t="s" s="17">
        <v>75</v>
      </c>
      <c r="B1" s="17"/>
    </row>
    <row r="2" ht="15.3" customHeight="1">
      <c r="A2" t="s" s="18">
        <v>6</v>
      </c>
      <c r="B2" t="s" s="19">
        <v>21</v>
      </c>
    </row>
    <row r="3" ht="15.3" customHeight="1">
      <c r="A3" t="s" s="20">
        <v>16</v>
      </c>
      <c r="B3" s="21">
        <v>41.5</v>
      </c>
    </row>
    <row r="4" ht="15.05" customHeight="1">
      <c r="A4" t="s" s="22">
        <v>14</v>
      </c>
      <c r="B4" s="23">
        <v>31.5</v>
      </c>
    </row>
    <row r="5" ht="15.05" customHeight="1">
      <c r="A5" t="s" s="22">
        <v>15</v>
      </c>
      <c r="B5" s="23">
        <v>31.5</v>
      </c>
    </row>
    <row r="6" ht="15.05" customHeight="1">
      <c r="A6" t="s" s="22">
        <v>12</v>
      </c>
      <c r="B6" s="23">
        <v>25</v>
      </c>
    </row>
    <row r="7" ht="15.05" customHeight="1">
      <c r="A7" t="s" s="22">
        <v>10</v>
      </c>
      <c r="B7" s="23">
        <v>24.5</v>
      </c>
    </row>
    <row r="8" ht="15.05" customHeight="1">
      <c r="A8" t="s" s="22">
        <v>11</v>
      </c>
      <c r="B8" s="23">
        <v>22.5</v>
      </c>
    </row>
    <row r="9" ht="15.05" customHeight="1">
      <c r="A9" t="s" s="22">
        <v>17</v>
      </c>
      <c r="B9" s="23">
        <v>21.5</v>
      </c>
    </row>
    <row r="10" ht="15.3" customHeight="1">
      <c r="A10" t="s" s="24">
        <v>13</v>
      </c>
      <c r="B10" s="25">
        <v>18</v>
      </c>
    </row>
    <row r="11" ht="15.3" customHeight="1">
      <c r="A11" t="s" s="26">
        <v>22</v>
      </c>
      <c r="B11" s="27">
        <v>216</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Z60"/>
  <sheetViews>
    <sheetView workbookViewId="0" showGridLines="0" defaultGridColor="1"/>
  </sheetViews>
  <sheetFormatPr defaultColWidth="8.83333" defaultRowHeight="14.5" customHeight="1" outlineLevelRow="0" outlineLevelCol="0"/>
  <cols>
    <col min="1" max="1" width="11.1719" style="66" customWidth="1"/>
    <col min="2" max="2" width="11.8516" style="66" customWidth="1"/>
    <col min="3" max="12" width="9.17188" style="66" customWidth="1"/>
    <col min="13" max="13" width="8.85156" style="66" customWidth="1"/>
    <col min="14" max="24" width="9.17188" style="66" customWidth="1"/>
    <col min="25" max="26" width="8.85156" style="66" customWidth="1"/>
    <col min="27" max="16384" width="8.85156" style="66" customWidth="1"/>
  </cols>
  <sheetData>
    <row r="1" ht="9" customHeight="1" hidden="1">
      <c r="A1" s="29"/>
      <c r="B1" s="29"/>
      <c r="C1" s="29"/>
      <c r="D1" s="29"/>
      <c r="E1" s="29"/>
      <c r="F1" s="29"/>
      <c r="G1" s="29"/>
      <c r="H1" s="29"/>
      <c r="I1" s="29"/>
      <c r="J1" s="29"/>
      <c r="K1" s="29"/>
      <c r="L1" s="29"/>
      <c r="M1" s="29"/>
      <c r="N1" s="29"/>
      <c r="O1" s="8"/>
      <c r="P1" s="29"/>
      <c r="Q1" s="29"/>
      <c r="R1" s="8"/>
      <c r="S1" s="8"/>
      <c r="T1" s="29"/>
      <c r="U1" s="29"/>
      <c r="V1" s="29"/>
      <c r="W1" s="29"/>
      <c r="X1" s="29"/>
      <c r="Y1" s="29"/>
      <c r="Z1" s="29"/>
    </row>
    <row r="2" ht="9" customHeight="1" hidden="1">
      <c r="A2" s="29"/>
      <c r="B2" s="29"/>
      <c r="C2" s="29"/>
      <c r="D2" s="29"/>
      <c r="E2" s="29"/>
      <c r="F2" s="29"/>
      <c r="G2" s="29"/>
      <c r="H2" s="29"/>
      <c r="I2" s="29"/>
      <c r="J2" s="29"/>
      <c r="K2" s="29"/>
      <c r="L2" s="29"/>
      <c r="M2" s="29"/>
      <c r="N2" s="29"/>
      <c r="O2" s="8"/>
      <c r="P2" s="29"/>
      <c r="Q2" s="29"/>
      <c r="R2" s="8"/>
      <c r="S2" s="8"/>
      <c r="T2" s="29"/>
      <c r="U2" s="29"/>
      <c r="V2" s="29"/>
      <c r="W2" s="29"/>
      <c r="X2" s="29"/>
      <c r="Y2" s="29"/>
      <c r="Z2" s="29"/>
    </row>
    <row r="3" ht="9" customHeight="1" hidden="1">
      <c r="A3" s="29"/>
      <c r="B3" s="29"/>
      <c r="C3" s="29"/>
      <c r="D3" s="29"/>
      <c r="E3" s="29"/>
      <c r="F3" s="29"/>
      <c r="G3" s="29"/>
      <c r="H3" s="29"/>
      <c r="I3" s="29"/>
      <c r="J3" s="29"/>
      <c r="K3" s="29"/>
      <c r="L3" s="29"/>
      <c r="M3" s="29"/>
      <c r="N3" s="29"/>
      <c r="O3" s="8"/>
      <c r="P3" s="29"/>
      <c r="Q3" s="29"/>
      <c r="R3" s="8"/>
      <c r="S3" s="8"/>
      <c r="T3" s="29"/>
      <c r="U3" s="29"/>
      <c r="V3" s="29"/>
      <c r="W3" s="29"/>
      <c r="X3" s="29"/>
      <c r="Y3" s="29"/>
      <c r="Z3" s="29"/>
    </row>
    <row r="4" ht="9" customHeight="1" hidden="1">
      <c r="A4" s="29"/>
      <c r="B4" s="29"/>
      <c r="C4" s="29"/>
      <c r="D4" s="29"/>
      <c r="E4" s="29"/>
      <c r="F4" s="29"/>
      <c r="G4" s="29"/>
      <c r="H4" s="29"/>
      <c r="I4" s="29"/>
      <c r="J4" s="29"/>
      <c r="K4" s="29"/>
      <c r="L4" s="29"/>
      <c r="M4" s="29"/>
      <c r="N4" s="29"/>
      <c r="O4" s="8"/>
      <c r="P4" s="29"/>
      <c r="Q4" s="29"/>
      <c r="R4" s="8"/>
      <c r="S4" s="8"/>
      <c r="T4" s="29"/>
      <c r="U4" s="29"/>
      <c r="V4" s="29"/>
      <c r="W4" s="29"/>
      <c r="X4" s="29"/>
      <c r="Y4" s="29"/>
      <c r="Z4" s="29"/>
    </row>
    <row r="5" ht="9" customHeight="1" hidden="1">
      <c r="A5" s="29"/>
      <c r="B5" s="29"/>
      <c r="C5" s="29"/>
      <c r="D5" s="29"/>
      <c r="E5" s="29"/>
      <c r="F5" s="29"/>
      <c r="G5" s="29"/>
      <c r="H5" s="29"/>
      <c r="I5" s="29"/>
      <c r="J5" s="29"/>
      <c r="K5" s="29"/>
      <c r="L5" s="29"/>
      <c r="M5" s="29"/>
      <c r="N5" s="29"/>
      <c r="O5" s="8"/>
      <c r="P5" s="29"/>
      <c r="Q5" s="29"/>
      <c r="R5" s="8"/>
      <c r="S5" s="8"/>
      <c r="T5" s="29"/>
      <c r="U5" s="29"/>
      <c r="V5" s="29"/>
      <c r="W5" s="29"/>
      <c r="X5" s="29"/>
      <c r="Y5" s="29"/>
      <c r="Z5" s="29"/>
    </row>
    <row r="6" ht="9" customHeight="1" hidden="1">
      <c r="A6" s="29"/>
      <c r="B6" s="29"/>
      <c r="C6" s="29"/>
      <c r="D6" s="29"/>
      <c r="E6" s="29"/>
      <c r="F6" s="29"/>
      <c r="G6" s="29"/>
      <c r="H6" s="29"/>
      <c r="I6" s="29"/>
      <c r="J6" s="29"/>
      <c r="K6" s="29"/>
      <c r="L6" s="29"/>
      <c r="M6" s="29"/>
      <c r="N6" s="29"/>
      <c r="O6" s="8"/>
      <c r="P6" s="29"/>
      <c r="Q6" s="29"/>
      <c r="R6" s="8"/>
      <c r="S6" s="8"/>
      <c r="T6" s="29"/>
      <c r="U6" s="29"/>
      <c r="V6" s="29"/>
      <c r="W6" s="29"/>
      <c r="X6" s="29"/>
      <c r="Y6" s="29"/>
      <c r="Z6" s="29"/>
    </row>
    <row r="7" ht="9" customHeight="1" hidden="1">
      <c r="A7" s="29"/>
      <c r="B7" s="29"/>
      <c r="C7" s="29"/>
      <c r="D7" s="29"/>
      <c r="E7" s="29"/>
      <c r="F7" s="29"/>
      <c r="G7" s="29"/>
      <c r="H7" s="29"/>
      <c r="I7" s="29"/>
      <c r="J7" s="29"/>
      <c r="K7" s="29"/>
      <c r="L7" s="29"/>
      <c r="M7" s="29"/>
      <c r="N7" s="29"/>
      <c r="O7" s="8"/>
      <c r="P7" s="29"/>
      <c r="Q7" s="29"/>
      <c r="R7" s="8"/>
      <c r="S7" s="8"/>
      <c r="T7" s="29"/>
      <c r="U7" s="29"/>
      <c r="V7" s="29"/>
      <c r="W7" s="29"/>
      <c r="X7" s="29"/>
      <c r="Y7" s="29"/>
      <c r="Z7" s="29"/>
    </row>
    <row r="8" ht="9" customHeight="1" hidden="1">
      <c r="A8" s="29"/>
      <c r="B8" s="29"/>
      <c r="C8" s="29"/>
      <c r="D8" s="29"/>
      <c r="E8" s="29"/>
      <c r="F8" s="29"/>
      <c r="G8" s="29"/>
      <c r="H8" s="29"/>
      <c r="I8" s="29"/>
      <c r="J8" s="29"/>
      <c r="K8" s="29"/>
      <c r="L8" s="29"/>
      <c r="M8" s="29"/>
      <c r="N8" s="29"/>
      <c r="O8" s="8"/>
      <c r="P8" s="29"/>
      <c r="Q8" s="29"/>
      <c r="R8" s="8"/>
      <c r="S8" s="8"/>
      <c r="T8" s="29"/>
      <c r="U8" s="29"/>
      <c r="V8" s="29"/>
      <c r="W8" s="29"/>
      <c r="X8" s="29"/>
      <c r="Y8" s="29"/>
      <c r="Z8" s="29"/>
    </row>
    <row r="9" ht="9" customHeight="1" hidden="1">
      <c r="A9" s="29"/>
      <c r="B9" s="29"/>
      <c r="C9" s="29"/>
      <c r="D9" s="29"/>
      <c r="E9" s="29"/>
      <c r="F9" s="29"/>
      <c r="G9" s="29"/>
      <c r="H9" s="29"/>
      <c r="I9" s="29"/>
      <c r="J9" s="29"/>
      <c r="K9" s="29"/>
      <c r="L9" s="29"/>
      <c r="M9" s="29"/>
      <c r="N9" s="29"/>
      <c r="O9" s="8"/>
      <c r="P9" s="29"/>
      <c r="Q9" s="29"/>
      <c r="R9" s="8"/>
      <c r="S9" s="8"/>
      <c r="T9" s="29"/>
      <c r="U9" s="29"/>
      <c r="V9" s="29"/>
      <c r="W9" s="29"/>
      <c r="X9" s="29"/>
      <c r="Y9" s="29"/>
      <c r="Z9" s="29"/>
    </row>
    <row r="10" ht="9" customHeight="1" hidden="1">
      <c r="A10" s="29"/>
      <c r="B10" s="29"/>
      <c r="C10" s="29"/>
      <c r="D10" s="29"/>
      <c r="E10" s="29"/>
      <c r="F10" s="29"/>
      <c r="G10" s="29"/>
      <c r="H10" s="29"/>
      <c r="I10" s="29"/>
      <c r="J10" s="29"/>
      <c r="K10" s="29"/>
      <c r="L10" s="29"/>
      <c r="M10" s="29"/>
      <c r="N10" s="29"/>
      <c r="O10" s="8"/>
      <c r="P10" s="29"/>
      <c r="Q10" s="29"/>
      <c r="R10" s="8"/>
      <c r="S10" s="8"/>
      <c r="T10" s="29"/>
      <c r="U10" s="29"/>
      <c r="V10" s="29"/>
      <c r="W10" s="29"/>
      <c r="X10" s="29"/>
      <c r="Y10" s="29"/>
      <c r="Z10" s="29"/>
    </row>
    <row r="11" ht="9" customHeight="1" hidden="1">
      <c r="A11" s="29"/>
      <c r="B11" s="29"/>
      <c r="C11" s="29"/>
      <c r="D11" s="29"/>
      <c r="E11" s="29"/>
      <c r="F11" s="29"/>
      <c r="G11" s="29"/>
      <c r="H11" s="29"/>
      <c r="I11" s="29"/>
      <c r="J11" s="29"/>
      <c r="K11" s="29"/>
      <c r="L11" s="29"/>
      <c r="M11" s="29"/>
      <c r="N11" s="29"/>
      <c r="O11" s="8"/>
      <c r="P11" s="29"/>
      <c r="Q11" s="29"/>
      <c r="R11" s="8"/>
      <c r="S11" s="8"/>
      <c r="T11" s="29"/>
      <c r="U11" s="29"/>
      <c r="V11" s="29"/>
      <c r="W11" s="29"/>
      <c r="X11" s="29"/>
      <c r="Y11" s="29"/>
      <c r="Z11" s="29"/>
    </row>
    <row r="12" ht="13.55" customHeight="1">
      <c r="A12" t="s" s="9">
        <v>48</v>
      </c>
      <c r="B12" s="30"/>
      <c r="C12" s="30"/>
      <c r="D12" s="30"/>
      <c r="E12" s="30"/>
      <c r="F12" s="30"/>
      <c r="G12" s="30"/>
      <c r="H12" s="30"/>
      <c r="I12" s="30"/>
      <c r="J12" s="30"/>
      <c r="K12" s="30"/>
      <c r="L12" s="30"/>
      <c r="M12" s="30"/>
      <c r="N12" s="30"/>
      <c r="O12" s="31"/>
      <c r="P12" t="s" s="45">
        <v>26</v>
      </c>
      <c r="Q12" s="46"/>
      <c r="R12" t="s" s="47">
        <v>52</v>
      </c>
      <c r="S12" s="48"/>
      <c r="T12" t="s" s="9">
        <v>8</v>
      </c>
      <c r="U12" s="30"/>
      <c r="V12" s="30"/>
      <c r="W12" s="30"/>
      <c r="X12" s="30"/>
      <c r="Y12" s="30"/>
      <c r="Z12" s="30"/>
    </row>
    <row r="13" ht="13.55" customHeight="1">
      <c r="A13" t="s" s="9">
        <v>6</v>
      </c>
      <c r="B13" t="s" s="9">
        <v>25</v>
      </c>
      <c r="C13" t="s" s="9">
        <v>26</v>
      </c>
      <c r="D13" t="s" s="9">
        <v>27</v>
      </c>
      <c r="E13" t="s" s="9">
        <v>26</v>
      </c>
      <c r="F13" t="s" s="9">
        <v>28</v>
      </c>
      <c r="G13" t="s" s="9">
        <v>26</v>
      </c>
      <c r="H13" t="s" s="9">
        <v>29</v>
      </c>
      <c r="I13" t="s" s="9">
        <v>26</v>
      </c>
      <c r="J13" t="s" s="9">
        <v>30</v>
      </c>
      <c r="K13" t="s" s="9">
        <v>26</v>
      </c>
      <c r="L13" t="s" s="9">
        <v>31</v>
      </c>
      <c r="M13" t="s" s="9">
        <v>26</v>
      </c>
      <c r="N13" t="s" s="9">
        <v>9</v>
      </c>
      <c r="O13" s="31"/>
      <c r="P13" t="s" s="9">
        <v>53</v>
      </c>
      <c r="Q13" s="32">
        <v>8</v>
      </c>
      <c r="R13" s="10"/>
      <c r="S13" s="48"/>
      <c r="T13" t="s" s="9">
        <v>6</v>
      </c>
      <c r="U13" t="s" s="9">
        <v>25</v>
      </c>
      <c r="V13" t="s" s="9">
        <v>27</v>
      </c>
      <c r="W13" t="s" s="9">
        <v>28</v>
      </c>
      <c r="X13" t="s" s="9">
        <v>29</v>
      </c>
      <c r="Y13" t="s" s="9">
        <v>30</v>
      </c>
      <c r="Z13" t="s" s="9">
        <v>31</v>
      </c>
    </row>
    <row r="14" ht="13.55" customHeight="1">
      <c r="A14" t="s" s="9">
        <v>10</v>
      </c>
      <c r="B14" s="42" cm="1">
        <f t="array" ref="B14">M26</f>
        <v>49.7083333333333</v>
      </c>
      <c r="C14" s="32">
        <v>2</v>
      </c>
      <c r="D14" s="42" cm="1">
        <f t="array" ref="D14">Y26</f>
        <v>38.7083333333333</v>
      </c>
      <c r="E14" s="32">
        <v>3</v>
      </c>
      <c r="F14" s="42" cm="1">
        <f t="array" ref="F14">M39</f>
        <v>34.7083333333333</v>
      </c>
      <c r="G14" s="32">
        <v>6</v>
      </c>
      <c r="H14" s="42" cm="1">
        <f t="array" ref="H14">Y39</f>
        <v>47.7083333333333</v>
      </c>
      <c r="I14" s="32">
        <v>3</v>
      </c>
      <c r="J14" s="42">
        <v>29.7083333333333</v>
      </c>
      <c r="K14" s="42">
        <v>6</v>
      </c>
      <c r="L14" s="42" cm="1">
        <f t="array" ref="L14">Y52</f>
        <v>34.7083333333333</v>
      </c>
      <c r="M14" s="32">
        <v>4.5</v>
      </c>
      <c r="N14" s="34" cm="1">
        <f t="array" ref="N14">C14+E14+G14+I14+K14+M14</f>
        <v>24.5</v>
      </c>
      <c r="O14" s="31"/>
      <c r="P14" t="s" s="9">
        <v>54</v>
      </c>
      <c r="Q14" s="32">
        <v>7</v>
      </c>
      <c r="R14" s="10"/>
      <c r="S14" s="48"/>
      <c r="T14" t="s" s="9">
        <v>10</v>
      </c>
      <c r="U14" s="37"/>
      <c r="V14" s="37"/>
      <c r="W14" t="s" s="36">
        <v>44</v>
      </c>
      <c r="X14" s="33"/>
      <c r="Y14" t="s" s="36">
        <v>44</v>
      </c>
      <c r="Z14" t="s" s="36">
        <v>44</v>
      </c>
    </row>
    <row r="15" ht="13.55" customHeight="1">
      <c r="A15" t="s" s="9">
        <v>17</v>
      </c>
      <c r="B15" s="42" cm="1">
        <f t="array" ref="B15">M27</f>
        <v>43.325</v>
      </c>
      <c r="C15" s="32">
        <v>4</v>
      </c>
      <c r="D15" s="42" cm="1">
        <f t="array" ref="D15">Y27</f>
        <v>31.325</v>
      </c>
      <c r="E15" s="32">
        <v>7</v>
      </c>
      <c r="F15" s="42" cm="1">
        <f t="array" ref="F15">M40</f>
        <v>46.325</v>
      </c>
      <c r="G15" s="32">
        <v>1</v>
      </c>
      <c r="H15" s="42" cm="1">
        <f t="array" ref="H15">Y40</f>
        <v>50.325</v>
      </c>
      <c r="I15" s="32">
        <v>1.5</v>
      </c>
      <c r="J15" s="42">
        <v>31.325</v>
      </c>
      <c r="K15" s="42">
        <v>5</v>
      </c>
      <c r="L15" s="42" cm="1">
        <f t="array" ref="L15">Y53</f>
        <v>36.325</v>
      </c>
      <c r="M15" s="32">
        <v>3</v>
      </c>
      <c r="N15" s="34" cm="1">
        <f t="array" ref="N15">C15+E15+G15+I15+K15+M15</f>
        <v>21.5</v>
      </c>
      <c r="O15" s="31"/>
      <c r="P15" t="s" s="9">
        <v>55</v>
      </c>
      <c r="Q15" s="32">
        <v>6</v>
      </c>
      <c r="R15" s="10"/>
      <c r="S15" s="48"/>
      <c r="T15" t="s" s="9">
        <v>17</v>
      </c>
      <c r="U15" s="37"/>
      <c r="V15" s="37"/>
      <c r="W15" t="s" s="36">
        <v>44</v>
      </c>
      <c r="X15" s="33"/>
      <c r="Y15" s="32">
        <v>11.5</v>
      </c>
      <c r="Z15" s="32">
        <v>15.6</v>
      </c>
    </row>
    <row r="16" ht="13.55" customHeight="1">
      <c r="A16" t="s" s="9">
        <v>11</v>
      </c>
      <c r="B16" s="42" cm="1">
        <f t="array" ref="B16">M28</f>
        <v>36.5340909090909</v>
      </c>
      <c r="C16" s="32">
        <v>6</v>
      </c>
      <c r="D16" s="42" cm="1">
        <f t="array" ref="D16">Y28</f>
        <v>35.5340909090909</v>
      </c>
      <c r="E16" s="32">
        <v>4.5</v>
      </c>
      <c r="F16" s="42" cm="1">
        <f t="array" ref="F16">M41</f>
        <v>35.5340909090909</v>
      </c>
      <c r="G16" s="32">
        <v>5</v>
      </c>
      <c r="H16" s="42" cm="1">
        <f t="array" ref="H16">Y41</f>
        <v>40.5340909090909</v>
      </c>
      <c r="I16" s="32">
        <v>5</v>
      </c>
      <c r="J16" s="42">
        <v>-7.46590909090909</v>
      </c>
      <c r="K16" s="42">
        <v>1</v>
      </c>
      <c r="L16" s="42" cm="1">
        <f t="array" ref="L16">Y54</f>
        <v>-7.46590909090909</v>
      </c>
      <c r="M16" s="32">
        <v>1</v>
      </c>
      <c r="N16" s="34" cm="1">
        <f t="array" ref="N16">C16+E16+G16+I16+K16+M16</f>
        <v>22.5</v>
      </c>
      <c r="O16" s="31"/>
      <c r="P16" t="s" s="9">
        <v>56</v>
      </c>
      <c r="Q16" s="32">
        <v>5</v>
      </c>
      <c r="R16" s="10"/>
      <c r="S16" s="48"/>
      <c r="T16" t="s" s="9">
        <v>11</v>
      </c>
      <c r="U16" s="39"/>
      <c r="V16" s="37"/>
      <c r="W16" t="s" s="36">
        <v>44</v>
      </c>
      <c r="X16" s="40"/>
      <c r="Y16" s="37"/>
      <c r="Z16" t="s" s="36">
        <v>44</v>
      </c>
    </row>
    <row r="17" ht="13.55" customHeight="1">
      <c r="A17" t="s" s="9">
        <v>12</v>
      </c>
      <c r="B17" s="42" cm="1">
        <f t="array" ref="B17">M29</f>
        <v>36.4431818181818</v>
      </c>
      <c r="C17" s="32">
        <v>7</v>
      </c>
      <c r="D17" s="42" cm="1">
        <f t="array" ref="D17">Y29</f>
        <v>53.4431818181818</v>
      </c>
      <c r="E17" s="32">
        <v>2</v>
      </c>
      <c r="F17" s="42" cm="1">
        <f t="array" ref="F17">M42</f>
        <v>31.4431818181818</v>
      </c>
      <c r="G17" s="32">
        <v>7</v>
      </c>
      <c r="H17" s="42" cm="1">
        <f t="array" ref="H17">Y42</f>
        <v>50.4431818181818</v>
      </c>
      <c r="I17" s="32">
        <v>1.5</v>
      </c>
      <c r="J17" s="42">
        <v>34.4431818181818</v>
      </c>
      <c r="K17" s="42">
        <v>3</v>
      </c>
      <c r="L17" s="42" cm="1">
        <f t="array" ref="L17">Y55</f>
        <v>35.4431818181818</v>
      </c>
      <c r="M17" s="32">
        <v>4.5</v>
      </c>
      <c r="N17" s="34" cm="1">
        <f t="array" ref="N17">C17+E17+G17+I17+K17+M17</f>
        <v>25</v>
      </c>
      <c r="O17" s="31"/>
      <c r="P17" t="s" s="9">
        <v>57</v>
      </c>
      <c r="Q17" s="32">
        <v>4</v>
      </c>
      <c r="R17" s="10"/>
      <c r="S17" s="48"/>
      <c r="T17" t="s" s="9">
        <v>12</v>
      </c>
      <c r="U17" s="37"/>
      <c r="V17" s="37"/>
      <c r="W17" t="s" s="36">
        <v>44</v>
      </c>
      <c r="X17" s="33"/>
      <c r="Y17" s="32">
        <v>17.7</v>
      </c>
      <c r="Z17" t="s" s="36">
        <v>44</v>
      </c>
    </row>
    <row r="18" ht="13.55" customHeight="1">
      <c r="A18" t="s" s="9">
        <v>13</v>
      </c>
      <c r="B18" s="42" cm="1">
        <f t="array" ref="B18">M30</f>
        <v>-7.375</v>
      </c>
      <c r="C18" s="32">
        <v>1</v>
      </c>
      <c r="D18" s="42" cm="1">
        <f t="array" ref="D18">Y30</f>
        <v>-7.375</v>
      </c>
      <c r="E18" s="32">
        <v>1</v>
      </c>
      <c r="F18" s="42" cm="1">
        <f t="array" ref="F18">M43</f>
        <v>36.625</v>
      </c>
      <c r="G18" s="32">
        <v>4</v>
      </c>
      <c r="H18" s="42" cm="1">
        <f t="array" ref="H18">Y43</f>
        <v>38.625</v>
      </c>
      <c r="I18" s="32">
        <v>6</v>
      </c>
      <c r="J18" s="42">
        <v>31.625</v>
      </c>
      <c r="K18" s="42">
        <v>4</v>
      </c>
      <c r="L18" s="42" cm="1">
        <f t="array" ref="L18">Y56</f>
        <v>37.625</v>
      </c>
      <c r="M18" s="32">
        <v>2</v>
      </c>
      <c r="N18" s="34" cm="1">
        <f t="array" ref="N18">C18+E18+G18+I18+K18+M18</f>
        <v>18</v>
      </c>
      <c r="O18" s="31"/>
      <c r="P18" t="s" s="9">
        <v>58</v>
      </c>
      <c r="Q18" s="32">
        <v>3</v>
      </c>
      <c r="R18" s="10"/>
      <c r="S18" s="48"/>
      <c r="T18" t="s" s="9">
        <v>13</v>
      </c>
      <c r="U18" s="37"/>
      <c r="V18" s="37"/>
      <c r="W18" s="40">
        <v>11.9</v>
      </c>
      <c r="X18" s="33"/>
      <c r="Y18" s="32">
        <v>6.1</v>
      </c>
      <c r="Z18" s="38">
        <v>12.9</v>
      </c>
    </row>
    <row r="19" ht="13.55" customHeight="1">
      <c r="A19" t="s" s="9">
        <v>14</v>
      </c>
      <c r="B19" s="42" cm="1">
        <f t="array" ref="B19">M31</f>
        <v>35.2403846153846</v>
      </c>
      <c r="C19" s="32">
        <v>8</v>
      </c>
      <c r="D19" s="42" cm="1">
        <f t="array" ref="D19">Y31</f>
        <v>36.2403846153846</v>
      </c>
      <c r="E19" s="32">
        <v>4.5</v>
      </c>
      <c r="F19" s="42" cm="1">
        <f t="array" ref="F19">M44</f>
        <v>40.2403846153846</v>
      </c>
      <c r="G19" s="32">
        <v>2</v>
      </c>
      <c r="H19" s="42" cm="1">
        <f t="array" ref="H19">Y44</f>
        <v>37.2403846153846</v>
      </c>
      <c r="I19" s="32">
        <v>8</v>
      </c>
      <c r="J19" s="42">
        <v>36.2403846153846</v>
      </c>
      <c r="K19" s="42">
        <v>2</v>
      </c>
      <c r="L19" s="42" cm="1">
        <f t="array" ref="L19">Y57</f>
        <v>31.2403846153846</v>
      </c>
      <c r="M19" s="32">
        <v>7</v>
      </c>
      <c r="N19" s="34" cm="1">
        <f t="array" ref="N19">C19+E19+G19+I19+K19+M19</f>
        <v>31.5</v>
      </c>
      <c r="O19" s="31"/>
      <c r="P19" t="s" s="9">
        <v>59</v>
      </c>
      <c r="Q19" s="32">
        <v>2</v>
      </c>
      <c r="R19" s="10"/>
      <c r="S19" s="48"/>
      <c r="T19" t="s" s="9">
        <v>14</v>
      </c>
      <c r="U19" s="37"/>
      <c r="V19" s="40"/>
      <c r="W19" t="s" s="36">
        <v>44</v>
      </c>
      <c r="X19" s="33"/>
      <c r="Y19" t="s" s="36">
        <v>44</v>
      </c>
      <c r="Z19" t="s" s="36">
        <v>44</v>
      </c>
    </row>
    <row r="20" ht="13.55" customHeight="1">
      <c r="A20" t="s" s="9">
        <v>15</v>
      </c>
      <c r="B20" s="42" cm="1">
        <f t="array" ref="B20">M32</f>
        <v>38.7678571428571</v>
      </c>
      <c r="C20" s="32">
        <v>5</v>
      </c>
      <c r="D20" s="42" cm="1">
        <f t="array" ref="D20">Y32</f>
        <v>34.7678571428571</v>
      </c>
      <c r="E20" s="32">
        <v>6</v>
      </c>
      <c r="F20" s="42" cm="1">
        <f t="array" ref="F20">M45</f>
        <v>38.7678571428571</v>
      </c>
      <c r="G20" s="32">
        <v>3</v>
      </c>
      <c r="H20" s="42" cm="1">
        <f t="array" ref="H20">Y45</f>
        <v>41.7678571428571</v>
      </c>
      <c r="I20" s="32">
        <v>4</v>
      </c>
      <c r="J20" s="42">
        <v>26.7678571428571</v>
      </c>
      <c r="K20" s="33">
        <v>7.5</v>
      </c>
      <c r="L20" s="42" cm="1">
        <f t="array" ref="L20">Y58</f>
        <v>31.7678571428571</v>
      </c>
      <c r="M20" s="32">
        <v>6</v>
      </c>
      <c r="N20" s="34" cm="1">
        <f t="array" ref="N20">C20+E20+G20+I20+K20+M20</f>
        <v>31.5</v>
      </c>
      <c r="O20" s="31"/>
      <c r="P20" t="s" s="9">
        <v>60</v>
      </c>
      <c r="Q20" s="32">
        <v>1</v>
      </c>
      <c r="R20" s="10"/>
      <c r="S20" s="48"/>
      <c r="T20" t="s" s="9">
        <v>15</v>
      </c>
      <c r="U20" s="37"/>
      <c r="V20" s="37"/>
      <c r="W20" s="33">
        <v>13.2</v>
      </c>
      <c r="X20" s="33"/>
      <c r="Y20" t="s" s="41">
        <v>46</v>
      </c>
      <c r="Z20" t="s" s="36">
        <v>44</v>
      </c>
    </row>
    <row r="21" ht="13.55" customHeight="1">
      <c r="A21" t="s" s="9">
        <v>16</v>
      </c>
      <c r="B21" s="42" cm="1">
        <f t="array" ref="B21">M33</f>
        <v>47.0416666666667</v>
      </c>
      <c r="C21" s="32">
        <v>3</v>
      </c>
      <c r="D21" s="42" cm="1">
        <f t="array" ref="D21">Y33</f>
        <v>27.0416666666667</v>
      </c>
      <c r="E21" s="32">
        <v>8</v>
      </c>
      <c r="F21" s="42" cm="1">
        <f t="array" ref="F21">M46</f>
        <v>30.0416666666667</v>
      </c>
      <c r="G21" s="32">
        <v>8</v>
      </c>
      <c r="H21" s="42" cm="1">
        <f t="array" ref="H21">Y46</f>
        <v>38.0416666666667</v>
      </c>
      <c r="I21" s="32">
        <v>7</v>
      </c>
      <c r="J21" s="42">
        <v>27.0416666666667</v>
      </c>
      <c r="K21" s="33">
        <v>7.5</v>
      </c>
      <c r="L21" s="42" cm="1">
        <f t="array" ref="L21">Y59</f>
        <v>28.0416666666667</v>
      </c>
      <c r="M21" s="32">
        <v>8</v>
      </c>
      <c r="N21" s="34" cm="1">
        <f t="array" ref="N21">C21+E21+G21+I21+K21+M21</f>
        <v>41.5</v>
      </c>
      <c r="O21" s="10"/>
      <c r="P21" s="14"/>
      <c r="Q21" s="14"/>
      <c r="R21" s="8"/>
      <c r="S21" s="48"/>
      <c r="T21" t="s" s="9">
        <v>16</v>
      </c>
      <c r="U21" s="37"/>
      <c r="V21" s="37"/>
      <c r="W21" t="s" s="36">
        <v>44</v>
      </c>
      <c r="X21" s="33"/>
      <c r="Y21" t="s" s="36">
        <v>44</v>
      </c>
      <c r="Z21" t="s" s="36">
        <v>44</v>
      </c>
    </row>
    <row r="22" ht="13.55" customHeight="1">
      <c r="A22" s="29"/>
      <c r="B22" s="29"/>
      <c r="C22" s="29"/>
      <c r="D22" s="29"/>
      <c r="E22" s="29"/>
      <c r="F22" s="29"/>
      <c r="G22" s="29"/>
      <c r="H22" s="29"/>
      <c r="I22" s="29"/>
      <c r="J22" s="29"/>
      <c r="K22" s="29"/>
      <c r="L22" s="29"/>
      <c r="M22" s="29"/>
      <c r="N22" s="29"/>
      <c r="O22" s="7"/>
      <c r="P22" s="7"/>
      <c r="Q22" s="7"/>
      <c r="R22" s="7"/>
      <c r="S22" s="7"/>
      <c r="T22" s="29"/>
      <c r="U22" s="29"/>
      <c r="V22" s="29"/>
      <c r="W22" s="29"/>
      <c r="X22" s="29"/>
      <c r="Y22" s="29"/>
      <c r="Z22" s="14"/>
    </row>
    <row r="23" ht="13.55" customHeight="1">
      <c r="A23" t="s" s="9">
        <v>96</v>
      </c>
      <c r="B23" s="35">
        <v>1</v>
      </c>
      <c r="C23" s="35">
        <v>2</v>
      </c>
      <c r="D23" s="49">
        <v>3</v>
      </c>
      <c r="E23" s="35">
        <v>4</v>
      </c>
      <c r="F23" s="35">
        <v>5</v>
      </c>
      <c r="G23" s="35">
        <v>6</v>
      </c>
      <c r="H23" s="35">
        <v>7</v>
      </c>
      <c r="I23" s="35">
        <v>8</v>
      </c>
      <c r="J23" s="35">
        <v>9</v>
      </c>
      <c r="K23" t="s" s="9">
        <v>9</v>
      </c>
      <c r="L23" t="s" s="9">
        <v>62</v>
      </c>
      <c r="M23" t="s" s="9">
        <v>63</v>
      </c>
      <c r="N23" s="35">
        <v>10</v>
      </c>
      <c r="O23" s="35">
        <v>11</v>
      </c>
      <c r="P23" s="35">
        <v>12</v>
      </c>
      <c r="Q23" s="35">
        <v>13</v>
      </c>
      <c r="R23" s="35">
        <v>14</v>
      </c>
      <c r="S23" s="35">
        <v>15</v>
      </c>
      <c r="T23" s="35">
        <v>16</v>
      </c>
      <c r="U23" s="49">
        <v>17</v>
      </c>
      <c r="V23" s="35">
        <v>18</v>
      </c>
      <c r="W23" t="s" s="9">
        <v>9</v>
      </c>
      <c r="X23" t="s" s="9">
        <v>62</v>
      </c>
      <c r="Y23" t="s" s="9">
        <v>63</v>
      </c>
      <c r="Z23" s="10"/>
    </row>
    <row r="24" ht="13.55" customHeight="1">
      <c r="A24" t="s" s="9">
        <v>64</v>
      </c>
      <c r="B24" s="35">
        <v>4</v>
      </c>
      <c r="C24" s="35">
        <v>5</v>
      </c>
      <c r="D24" s="49">
        <v>3</v>
      </c>
      <c r="E24" s="35">
        <v>4</v>
      </c>
      <c r="F24" s="35">
        <v>4</v>
      </c>
      <c r="G24" s="35">
        <v>5</v>
      </c>
      <c r="H24" s="35">
        <v>3</v>
      </c>
      <c r="I24" s="35">
        <v>4</v>
      </c>
      <c r="J24" s="35">
        <v>4</v>
      </c>
      <c r="K24" s="35" cm="1">
        <f t="array" ref="K24">SUM(B24:J24)</f>
        <v>36</v>
      </c>
      <c r="L24" s="50"/>
      <c r="M24" s="50"/>
      <c r="N24" s="35">
        <v>4</v>
      </c>
      <c r="O24" s="35">
        <v>4</v>
      </c>
      <c r="P24" s="35">
        <v>5</v>
      </c>
      <c r="Q24" s="35">
        <v>4</v>
      </c>
      <c r="R24" s="35">
        <v>3</v>
      </c>
      <c r="S24" s="35">
        <v>4</v>
      </c>
      <c r="T24" s="35">
        <v>5</v>
      </c>
      <c r="U24" s="49">
        <v>3</v>
      </c>
      <c r="V24" s="35">
        <v>4</v>
      </c>
      <c r="W24" s="35" cm="1">
        <f t="array" ref="W24">SUM(N24:V24)</f>
        <v>36</v>
      </c>
      <c r="X24" s="51"/>
      <c r="Y24" s="50"/>
      <c r="Z24" s="10"/>
    </row>
    <row r="25" ht="13.55" customHeight="1">
      <c r="A25" t="s" s="9">
        <v>6</v>
      </c>
      <c r="B25" s="52"/>
      <c r="C25" s="52"/>
      <c r="D25" s="52"/>
      <c r="E25" s="52"/>
      <c r="F25" s="52"/>
      <c r="G25" s="52"/>
      <c r="H25" s="52"/>
      <c r="I25" s="52"/>
      <c r="J25" s="52"/>
      <c r="K25" s="52"/>
      <c r="L25" s="52"/>
      <c r="M25" s="52"/>
      <c r="N25" s="52"/>
      <c r="O25" s="52"/>
      <c r="P25" s="52"/>
      <c r="Q25" s="52"/>
      <c r="R25" s="52"/>
      <c r="S25" s="52"/>
      <c r="T25" s="52"/>
      <c r="U25" s="52"/>
      <c r="V25" s="52"/>
      <c r="W25" s="52"/>
      <c r="X25" s="52"/>
      <c r="Y25" s="52"/>
      <c r="Z25" s="10"/>
    </row>
    <row r="26" ht="13.55" customHeight="1">
      <c r="A26" t="s" s="9">
        <v>10</v>
      </c>
      <c r="B26" s="32">
        <v>12</v>
      </c>
      <c r="C26" s="32">
        <v>9</v>
      </c>
      <c r="D26" s="38">
        <v>3</v>
      </c>
      <c r="E26" s="32">
        <v>15</v>
      </c>
      <c r="F26" s="32">
        <v>6</v>
      </c>
      <c r="G26" s="32">
        <v>9</v>
      </c>
      <c r="H26" s="32">
        <v>6</v>
      </c>
      <c r="I26" s="32">
        <v>6</v>
      </c>
      <c r="J26" s="32">
        <v>8</v>
      </c>
      <c r="K26" s="35" cm="1">
        <f t="array" ref="K26">SUM(B26:J26)</f>
        <v>74</v>
      </c>
      <c r="L26" s="67">
        <v>24.2916666666667</v>
      </c>
      <c r="M26" s="67" cm="1">
        <f t="array" ref="M26">K26-L26</f>
        <v>49.7083333333333</v>
      </c>
      <c r="N26" s="32">
        <v>6</v>
      </c>
      <c r="O26" s="32">
        <v>7</v>
      </c>
      <c r="P26" s="32">
        <v>12</v>
      </c>
      <c r="Q26" s="32">
        <v>6</v>
      </c>
      <c r="R26" s="32">
        <v>4</v>
      </c>
      <c r="S26" s="32">
        <v>7</v>
      </c>
      <c r="T26" s="32">
        <v>9</v>
      </c>
      <c r="U26" s="38">
        <v>5</v>
      </c>
      <c r="V26" s="32">
        <v>7</v>
      </c>
      <c r="W26" s="35" cm="1">
        <f t="array" ref="W26">SUM(N26:V26)</f>
        <v>63</v>
      </c>
      <c r="X26" s="67">
        <v>24.2916666666667</v>
      </c>
      <c r="Y26" s="67" cm="1">
        <f t="array" ref="Y26">W26-X26</f>
        <v>38.7083333333333</v>
      </c>
      <c r="Z26" s="10"/>
    </row>
    <row r="27" ht="13.55" customHeight="1">
      <c r="A27" t="s" s="9">
        <v>17</v>
      </c>
      <c r="B27" s="32">
        <v>6</v>
      </c>
      <c r="C27" s="32">
        <v>7</v>
      </c>
      <c r="D27" s="38">
        <v>4</v>
      </c>
      <c r="E27" s="32">
        <v>7</v>
      </c>
      <c r="F27" s="32">
        <v>7</v>
      </c>
      <c r="G27" s="32">
        <v>8</v>
      </c>
      <c r="H27" s="32">
        <v>4</v>
      </c>
      <c r="I27" s="32">
        <v>8</v>
      </c>
      <c r="J27" s="32">
        <v>5</v>
      </c>
      <c r="K27" s="35" cm="1">
        <f t="array" ref="K27">SUM(B27:J27)</f>
        <v>56</v>
      </c>
      <c r="L27" s="67">
        <v>12.675</v>
      </c>
      <c r="M27" s="67" cm="1">
        <f t="array" ref="M27">K27-L27</f>
        <v>43.325</v>
      </c>
      <c r="N27" s="32">
        <v>4</v>
      </c>
      <c r="O27" s="32">
        <v>6</v>
      </c>
      <c r="P27" s="32">
        <v>6</v>
      </c>
      <c r="Q27" s="32">
        <v>4</v>
      </c>
      <c r="R27" s="32">
        <v>3</v>
      </c>
      <c r="S27" s="32">
        <v>5</v>
      </c>
      <c r="T27" s="32">
        <v>6</v>
      </c>
      <c r="U27" s="38">
        <v>5</v>
      </c>
      <c r="V27" s="32">
        <v>5</v>
      </c>
      <c r="W27" s="35" cm="1">
        <f t="array" ref="W27">SUM(N27:V27)</f>
        <v>44</v>
      </c>
      <c r="X27" s="67">
        <v>12.675</v>
      </c>
      <c r="Y27" s="67" cm="1">
        <f t="array" ref="Y27">W27-X27</f>
        <v>31.325</v>
      </c>
      <c r="Z27" s="10"/>
    </row>
    <row r="28" ht="13.55" customHeight="1">
      <c r="A28" t="s" s="9">
        <v>11</v>
      </c>
      <c r="B28" s="32">
        <v>8</v>
      </c>
      <c r="C28" s="32">
        <v>7</v>
      </c>
      <c r="D28" s="38">
        <v>2</v>
      </c>
      <c r="E28" s="32">
        <v>6</v>
      </c>
      <c r="F28" s="32">
        <v>4</v>
      </c>
      <c r="G28" s="32">
        <v>5</v>
      </c>
      <c r="H28" s="32">
        <v>3</v>
      </c>
      <c r="I28" s="32">
        <v>4</v>
      </c>
      <c r="J28" s="32">
        <v>5</v>
      </c>
      <c r="K28" s="35" cm="1">
        <f t="array" ref="K28">SUM(B28:J28)</f>
        <v>44</v>
      </c>
      <c r="L28" s="67">
        <v>7.46590909090909</v>
      </c>
      <c r="M28" s="67" cm="1">
        <f t="array" ref="M28">K28-L28</f>
        <v>36.5340909090909</v>
      </c>
      <c r="N28" s="32">
        <v>7</v>
      </c>
      <c r="O28" s="32">
        <v>5</v>
      </c>
      <c r="P28" s="32">
        <v>5</v>
      </c>
      <c r="Q28" s="32">
        <v>4</v>
      </c>
      <c r="R28" s="32">
        <v>4</v>
      </c>
      <c r="S28" s="32">
        <v>4</v>
      </c>
      <c r="T28" s="32">
        <v>5</v>
      </c>
      <c r="U28" s="38">
        <v>4</v>
      </c>
      <c r="V28" s="32">
        <v>5</v>
      </c>
      <c r="W28" s="35" cm="1">
        <f t="array" ref="W28">SUM(N28:V28)</f>
        <v>43</v>
      </c>
      <c r="X28" s="67">
        <v>7.46590909090909</v>
      </c>
      <c r="Y28" s="67" cm="1">
        <f t="array" ref="Y28">W28-X28</f>
        <v>35.5340909090909</v>
      </c>
      <c r="Z28" s="10"/>
    </row>
    <row r="29" ht="13.55" customHeight="1">
      <c r="A29" t="s" s="9">
        <v>12</v>
      </c>
      <c r="B29" s="32">
        <v>8</v>
      </c>
      <c r="C29" s="32">
        <v>9</v>
      </c>
      <c r="D29" s="38">
        <v>5</v>
      </c>
      <c r="E29" s="32">
        <v>6</v>
      </c>
      <c r="F29" s="32">
        <v>5</v>
      </c>
      <c r="G29" s="32">
        <v>8</v>
      </c>
      <c r="H29" s="32">
        <v>5</v>
      </c>
      <c r="I29" s="32">
        <v>7</v>
      </c>
      <c r="J29" s="32">
        <v>5</v>
      </c>
      <c r="K29" s="35" cm="1">
        <f t="array" ref="K29">SUM(B29:J29)</f>
        <v>58</v>
      </c>
      <c r="L29" s="67">
        <v>21.5568181818182</v>
      </c>
      <c r="M29" s="67" cm="1">
        <f t="array" ref="M29">K29-L29</f>
        <v>36.4431818181818</v>
      </c>
      <c r="N29" s="32">
        <v>7</v>
      </c>
      <c r="O29" s="32">
        <v>8</v>
      </c>
      <c r="P29" s="32">
        <v>10</v>
      </c>
      <c r="Q29" s="32">
        <v>12</v>
      </c>
      <c r="R29" s="32">
        <v>6</v>
      </c>
      <c r="S29" s="32">
        <v>8</v>
      </c>
      <c r="T29" s="32">
        <v>12</v>
      </c>
      <c r="U29" s="38">
        <v>5</v>
      </c>
      <c r="V29" s="32">
        <v>7</v>
      </c>
      <c r="W29" s="35" cm="1">
        <f t="array" ref="W29">SUM(N29:V29)</f>
        <v>75</v>
      </c>
      <c r="X29" s="67">
        <v>21.5568181818182</v>
      </c>
      <c r="Y29" s="67" cm="1">
        <f t="array" ref="Y29">W29-X29</f>
        <v>53.4431818181818</v>
      </c>
      <c r="Z29" s="10"/>
    </row>
    <row r="30" ht="13.55" customHeight="1">
      <c r="A30" t="s" s="9">
        <v>13</v>
      </c>
      <c r="B30" s="37"/>
      <c r="C30" s="37"/>
      <c r="D30" s="39"/>
      <c r="E30" s="37"/>
      <c r="F30" s="37"/>
      <c r="G30" s="37"/>
      <c r="H30" s="37"/>
      <c r="I30" s="37"/>
      <c r="J30" s="37"/>
      <c r="K30" s="35" cm="1">
        <f t="array" ref="K30">SUM(B30:J30)</f>
        <v>0</v>
      </c>
      <c r="L30" s="67">
        <v>7.375</v>
      </c>
      <c r="M30" s="67" cm="1">
        <f t="array" ref="M30">K30-L30</f>
        <v>-7.375</v>
      </c>
      <c r="N30" s="37"/>
      <c r="O30" s="37"/>
      <c r="P30" s="37"/>
      <c r="Q30" s="37"/>
      <c r="R30" s="37"/>
      <c r="S30" s="37"/>
      <c r="T30" s="37"/>
      <c r="U30" s="39"/>
      <c r="V30" s="37"/>
      <c r="W30" s="35" cm="1">
        <f t="array" ref="W30">SUM(N30:V30)</f>
        <v>0</v>
      </c>
      <c r="X30" s="67">
        <v>7.375</v>
      </c>
      <c r="Y30" s="67" cm="1">
        <f t="array" ref="Y30">W30-X30</f>
        <v>-7.375</v>
      </c>
      <c r="Z30" s="10"/>
    </row>
    <row r="31" ht="13.55" customHeight="1">
      <c r="A31" t="s" s="9">
        <v>14</v>
      </c>
      <c r="B31" s="32">
        <v>4</v>
      </c>
      <c r="C31" s="32">
        <v>5</v>
      </c>
      <c r="D31" s="38">
        <v>3</v>
      </c>
      <c r="E31" s="32">
        <v>7</v>
      </c>
      <c r="F31" s="32">
        <v>4</v>
      </c>
      <c r="G31" s="32">
        <v>6</v>
      </c>
      <c r="H31" s="32">
        <v>5</v>
      </c>
      <c r="I31" s="32">
        <v>4</v>
      </c>
      <c r="J31" s="32">
        <v>5</v>
      </c>
      <c r="K31" s="35" cm="1">
        <f t="array" ref="K31">SUM(B31:J31)</f>
        <v>43</v>
      </c>
      <c r="L31" s="67">
        <v>7.75961538461539</v>
      </c>
      <c r="M31" s="67" cm="1">
        <f t="array" ref="M31">K31-L31</f>
        <v>35.2403846153846</v>
      </c>
      <c r="N31" s="32">
        <v>4</v>
      </c>
      <c r="O31" s="32">
        <v>7</v>
      </c>
      <c r="P31" s="32">
        <v>6</v>
      </c>
      <c r="Q31" s="32">
        <v>4</v>
      </c>
      <c r="R31" s="32">
        <v>5</v>
      </c>
      <c r="S31" s="32">
        <v>4</v>
      </c>
      <c r="T31" s="32">
        <v>6</v>
      </c>
      <c r="U31" s="38">
        <v>3</v>
      </c>
      <c r="V31" s="32">
        <v>5</v>
      </c>
      <c r="W31" s="35" cm="1">
        <f t="array" ref="W31">SUM(N31:V31)</f>
        <v>44</v>
      </c>
      <c r="X31" s="67">
        <v>7.75961538461539</v>
      </c>
      <c r="Y31" s="67" cm="1">
        <f t="array" ref="Y31">W31-X31</f>
        <v>36.2403846153846</v>
      </c>
      <c r="Z31" s="10"/>
    </row>
    <row r="32" ht="13.55" customHeight="1">
      <c r="A32" t="s" s="9">
        <v>15</v>
      </c>
      <c r="B32" s="32">
        <v>8</v>
      </c>
      <c r="C32" s="32">
        <v>8</v>
      </c>
      <c r="D32" s="38">
        <v>4</v>
      </c>
      <c r="E32" s="32">
        <v>5</v>
      </c>
      <c r="F32" s="32">
        <v>4</v>
      </c>
      <c r="G32" s="32">
        <v>6</v>
      </c>
      <c r="H32" s="32">
        <v>4</v>
      </c>
      <c r="I32" s="32">
        <v>4</v>
      </c>
      <c r="J32" s="32">
        <v>6</v>
      </c>
      <c r="K32" s="35" cm="1">
        <f t="array" ref="K32">SUM(B32:J32)</f>
        <v>49</v>
      </c>
      <c r="L32" s="67">
        <v>10.2321428571429</v>
      </c>
      <c r="M32" s="67" cm="1">
        <f t="array" ref="M32">K32-L32</f>
        <v>38.7678571428571</v>
      </c>
      <c r="N32" s="32">
        <v>5</v>
      </c>
      <c r="O32" s="32">
        <v>5</v>
      </c>
      <c r="P32" s="32">
        <v>7</v>
      </c>
      <c r="Q32" s="32">
        <v>4</v>
      </c>
      <c r="R32" s="32">
        <v>4</v>
      </c>
      <c r="S32" s="32">
        <v>4</v>
      </c>
      <c r="T32" s="32">
        <v>6</v>
      </c>
      <c r="U32" s="38">
        <v>4</v>
      </c>
      <c r="V32" s="32">
        <v>6</v>
      </c>
      <c r="W32" s="35" cm="1">
        <f t="array" ref="W32">SUM(N32:V32)</f>
        <v>45</v>
      </c>
      <c r="X32" s="67">
        <v>10.2321428571429</v>
      </c>
      <c r="Y32" s="67" cm="1">
        <f t="array" ref="Y32">W32-X32</f>
        <v>34.7678571428571</v>
      </c>
      <c r="Z32" s="10"/>
    </row>
    <row r="33" ht="13.55" customHeight="1">
      <c r="A33" t="s" s="9">
        <v>16</v>
      </c>
      <c r="B33" s="32">
        <v>11</v>
      </c>
      <c r="C33" s="32">
        <v>9</v>
      </c>
      <c r="D33" s="38">
        <v>5</v>
      </c>
      <c r="E33" s="32">
        <v>9</v>
      </c>
      <c r="F33" s="32">
        <v>5</v>
      </c>
      <c r="G33" s="32">
        <v>8</v>
      </c>
      <c r="H33" s="32">
        <v>5</v>
      </c>
      <c r="I33" s="32">
        <v>7</v>
      </c>
      <c r="J33" s="32">
        <v>13</v>
      </c>
      <c r="K33" s="35" cm="1">
        <f t="array" ref="K33">SUM(B33:J33)</f>
        <v>72</v>
      </c>
      <c r="L33" s="67">
        <v>24.9583333333333</v>
      </c>
      <c r="M33" s="67" cm="1">
        <f t="array" ref="M33">K33-L33</f>
        <v>47.0416666666667</v>
      </c>
      <c r="N33" s="32">
        <v>6</v>
      </c>
      <c r="O33" s="32">
        <v>8</v>
      </c>
      <c r="P33" s="32">
        <v>6</v>
      </c>
      <c r="Q33" s="32">
        <v>6</v>
      </c>
      <c r="R33" s="32">
        <v>4</v>
      </c>
      <c r="S33" s="32">
        <v>5</v>
      </c>
      <c r="T33" s="32">
        <v>8</v>
      </c>
      <c r="U33" s="38">
        <v>4</v>
      </c>
      <c r="V33" s="32">
        <v>5</v>
      </c>
      <c r="W33" s="35" cm="1">
        <f t="array" ref="W33">SUM(N33:V33)</f>
        <v>52</v>
      </c>
      <c r="X33" s="67">
        <v>24.9583333333333</v>
      </c>
      <c r="Y33" s="67" cm="1">
        <f t="array" ref="Y33">W33-X33</f>
        <v>27.0416666666667</v>
      </c>
      <c r="Z33" s="10"/>
    </row>
    <row r="34" ht="13.55" customHeight="1">
      <c r="A34" s="14"/>
      <c r="B34" s="14"/>
      <c r="C34" s="53"/>
      <c r="D34" t="s" s="55">
        <v>97</v>
      </c>
      <c r="E34" s="54"/>
      <c r="F34" s="14"/>
      <c r="G34" s="53"/>
      <c r="H34" t="s" s="9">
        <v>98</v>
      </c>
      <c r="I34" s="54"/>
      <c r="J34" s="14"/>
      <c r="K34" s="14"/>
      <c r="L34" s="14"/>
      <c r="M34" s="14"/>
      <c r="N34" s="14"/>
      <c r="O34" s="14"/>
      <c r="P34" s="14"/>
      <c r="Q34" s="57"/>
      <c r="R34" t="s" s="9">
        <v>99</v>
      </c>
      <c r="S34" s="54"/>
      <c r="T34" s="53"/>
      <c r="U34" t="s" s="55">
        <v>100</v>
      </c>
      <c r="V34" s="54"/>
      <c r="W34" s="14"/>
      <c r="X34" s="14"/>
      <c r="Y34" s="14"/>
      <c r="Z34" s="8"/>
    </row>
    <row r="35" ht="13.55" customHeight="1">
      <c r="A35" s="7"/>
      <c r="B35" s="7"/>
      <c r="C35" s="7"/>
      <c r="D35" s="29"/>
      <c r="E35" s="7"/>
      <c r="F35" s="7"/>
      <c r="G35" s="7"/>
      <c r="H35" s="29"/>
      <c r="I35" s="7"/>
      <c r="J35" s="7"/>
      <c r="K35" s="7"/>
      <c r="L35" s="7"/>
      <c r="M35" s="7"/>
      <c r="N35" s="7"/>
      <c r="O35" s="7"/>
      <c r="P35" s="7"/>
      <c r="Q35" s="7"/>
      <c r="R35" s="29"/>
      <c r="S35" s="7"/>
      <c r="T35" s="7"/>
      <c r="U35" s="29"/>
      <c r="V35" s="7"/>
      <c r="W35" s="7"/>
      <c r="X35" s="7"/>
      <c r="Y35" s="7"/>
      <c r="Z35" s="8"/>
    </row>
    <row r="36" ht="13.55" customHeight="1">
      <c r="A36" t="s" s="9">
        <v>101</v>
      </c>
      <c r="B36" s="35">
        <v>1</v>
      </c>
      <c r="C36" s="35">
        <v>2</v>
      </c>
      <c r="D36" s="35">
        <v>3</v>
      </c>
      <c r="E36" s="35">
        <v>4</v>
      </c>
      <c r="F36" s="35">
        <v>5</v>
      </c>
      <c r="G36" s="49">
        <v>6</v>
      </c>
      <c r="H36" s="35">
        <v>7</v>
      </c>
      <c r="I36" s="35">
        <v>8</v>
      </c>
      <c r="J36" s="35">
        <v>9</v>
      </c>
      <c r="K36" t="s" s="9">
        <v>9</v>
      </c>
      <c r="L36" t="s" s="9">
        <v>62</v>
      </c>
      <c r="M36" t="s" s="9">
        <v>63</v>
      </c>
      <c r="N36" s="35">
        <v>10</v>
      </c>
      <c r="O36" s="35">
        <v>11</v>
      </c>
      <c r="P36" s="49">
        <v>12</v>
      </c>
      <c r="Q36" s="35">
        <v>13</v>
      </c>
      <c r="R36" s="35">
        <v>14</v>
      </c>
      <c r="S36" s="35">
        <v>15</v>
      </c>
      <c r="T36" s="49">
        <v>16</v>
      </c>
      <c r="U36" s="35">
        <v>17</v>
      </c>
      <c r="V36" s="35">
        <v>18</v>
      </c>
      <c r="W36" t="s" s="9">
        <v>9</v>
      </c>
      <c r="X36" t="s" s="9">
        <v>62</v>
      </c>
      <c r="Y36" t="s" s="9">
        <v>63</v>
      </c>
      <c r="Z36" s="10"/>
    </row>
    <row r="37" ht="13.55" customHeight="1">
      <c r="A37" t="s" s="9">
        <v>64</v>
      </c>
      <c r="B37" s="35">
        <v>4</v>
      </c>
      <c r="C37" s="35">
        <v>5</v>
      </c>
      <c r="D37" s="35">
        <v>4</v>
      </c>
      <c r="E37" s="35">
        <v>3</v>
      </c>
      <c r="F37" s="35">
        <v>4</v>
      </c>
      <c r="G37" s="49">
        <v>3</v>
      </c>
      <c r="H37" s="35">
        <v>4</v>
      </c>
      <c r="I37" s="35">
        <v>5</v>
      </c>
      <c r="J37" s="35">
        <v>4</v>
      </c>
      <c r="K37" s="35" cm="1">
        <f t="array" ref="K37">SUM(B37:J37)</f>
        <v>36</v>
      </c>
      <c r="L37" s="50"/>
      <c r="M37" s="50"/>
      <c r="N37" s="35">
        <v>4</v>
      </c>
      <c r="O37" s="35">
        <v>4</v>
      </c>
      <c r="P37" s="49">
        <v>3</v>
      </c>
      <c r="Q37" s="35">
        <v>5</v>
      </c>
      <c r="R37" s="35">
        <v>4</v>
      </c>
      <c r="S37" s="35">
        <v>5</v>
      </c>
      <c r="T37" s="49">
        <v>3</v>
      </c>
      <c r="U37" s="35">
        <v>4</v>
      </c>
      <c r="V37" s="35">
        <v>4</v>
      </c>
      <c r="W37" s="35" cm="1">
        <f t="array" ref="W37">SUM(N37:V37)</f>
        <v>36</v>
      </c>
      <c r="X37" s="51"/>
      <c r="Y37" s="50"/>
      <c r="Z37" s="10"/>
    </row>
    <row r="38" ht="13.55" customHeight="1">
      <c r="A38" t="s" s="9">
        <v>6</v>
      </c>
      <c r="B38" s="52"/>
      <c r="C38" s="52"/>
      <c r="D38" s="52"/>
      <c r="E38" s="52"/>
      <c r="F38" s="52"/>
      <c r="G38" s="52"/>
      <c r="H38" s="52"/>
      <c r="I38" s="52"/>
      <c r="J38" s="52"/>
      <c r="K38" s="52"/>
      <c r="L38" s="52"/>
      <c r="M38" s="52"/>
      <c r="N38" s="52"/>
      <c r="O38" s="52"/>
      <c r="P38" s="52"/>
      <c r="Q38" s="52"/>
      <c r="R38" s="52"/>
      <c r="S38" s="52"/>
      <c r="T38" s="52"/>
      <c r="U38" s="52"/>
      <c r="V38" s="52"/>
      <c r="W38" s="52"/>
      <c r="X38" s="52"/>
      <c r="Y38" s="52"/>
      <c r="Z38" s="10"/>
    </row>
    <row r="39" ht="13.55" customHeight="1">
      <c r="A39" t="s" s="9">
        <v>10</v>
      </c>
      <c r="B39" s="32">
        <v>6</v>
      </c>
      <c r="C39" s="32">
        <v>8</v>
      </c>
      <c r="D39" s="32">
        <v>6</v>
      </c>
      <c r="E39" s="32">
        <v>5</v>
      </c>
      <c r="F39" s="32">
        <v>6</v>
      </c>
      <c r="G39" s="38">
        <v>4</v>
      </c>
      <c r="H39" s="32">
        <v>9</v>
      </c>
      <c r="I39" s="32">
        <v>8</v>
      </c>
      <c r="J39" s="32">
        <v>7</v>
      </c>
      <c r="K39" s="35" cm="1">
        <f t="array" ref="K39">SUM(B39:J39)</f>
        <v>59</v>
      </c>
      <c r="L39" s="67">
        <v>24.2916666666667</v>
      </c>
      <c r="M39" s="67" cm="1">
        <f t="array" ref="M39">K39-L39</f>
        <v>34.7083333333333</v>
      </c>
      <c r="N39" s="32">
        <v>7</v>
      </c>
      <c r="O39" s="32">
        <v>8</v>
      </c>
      <c r="P39" s="38">
        <v>7</v>
      </c>
      <c r="Q39" s="32">
        <v>14</v>
      </c>
      <c r="R39" s="32">
        <v>7</v>
      </c>
      <c r="S39" s="32">
        <v>8</v>
      </c>
      <c r="T39" s="38">
        <v>5</v>
      </c>
      <c r="U39" s="32">
        <v>6</v>
      </c>
      <c r="V39" s="32">
        <v>10</v>
      </c>
      <c r="W39" s="35" cm="1">
        <f t="array" ref="W39">SUM(N39:V39)</f>
        <v>72</v>
      </c>
      <c r="X39" s="67">
        <v>24.2916666666667</v>
      </c>
      <c r="Y39" s="67" cm="1">
        <f t="array" ref="Y39">W39-X39</f>
        <v>47.7083333333333</v>
      </c>
      <c r="Z39" s="10"/>
    </row>
    <row r="40" ht="13.55" customHeight="1">
      <c r="A40" t="s" s="9">
        <v>17</v>
      </c>
      <c r="B40" s="32">
        <v>7</v>
      </c>
      <c r="C40" s="32">
        <v>7</v>
      </c>
      <c r="D40" s="32">
        <v>6</v>
      </c>
      <c r="E40" s="32">
        <v>4</v>
      </c>
      <c r="F40" s="32">
        <v>11</v>
      </c>
      <c r="G40" s="38">
        <v>6</v>
      </c>
      <c r="H40" s="32">
        <v>6</v>
      </c>
      <c r="I40" s="32">
        <v>6</v>
      </c>
      <c r="J40" s="32">
        <v>6</v>
      </c>
      <c r="K40" s="35" cm="1">
        <f t="array" ref="K40">SUM(B40:J40)</f>
        <v>59</v>
      </c>
      <c r="L40" s="67">
        <v>12.675</v>
      </c>
      <c r="M40" s="67" cm="1">
        <f t="array" ref="M40">K40-L40</f>
        <v>46.325</v>
      </c>
      <c r="N40" s="32">
        <v>8</v>
      </c>
      <c r="O40" s="32">
        <v>7</v>
      </c>
      <c r="P40" s="38">
        <v>4</v>
      </c>
      <c r="Q40" s="32">
        <v>9</v>
      </c>
      <c r="R40" s="32">
        <v>8</v>
      </c>
      <c r="S40" s="32">
        <v>8</v>
      </c>
      <c r="T40" s="38">
        <v>4</v>
      </c>
      <c r="U40" s="32">
        <v>6</v>
      </c>
      <c r="V40" s="32">
        <v>9</v>
      </c>
      <c r="W40" s="35" cm="1">
        <f t="array" ref="W40">SUM(N40:V40)</f>
        <v>63</v>
      </c>
      <c r="X40" s="67">
        <v>12.675</v>
      </c>
      <c r="Y40" s="67" cm="1">
        <f t="array" ref="Y40">W40-X40</f>
        <v>50.325</v>
      </c>
      <c r="Z40" s="10"/>
    </row>
    <row r="41" ht="13.55" customHeight="1">
      <c r="A41" t="s" s="9">
        <v>11</v>
      </c>
      <c r="B41" s="32">
        <v>6</v>
      </c>
      <c r="C41" s="32">
        <v>5</v>
      </c>
      <c r="D41" s="32">
        <v>4</v>
      </c>
      <c r="E41" s="32">
        <v>4</v>
      </c>
      <c r="F41" s="32">
        <v>5</v>
      </c>
      <c r="G41" s="38">
        <v>4</v>
      </c>
      <c r="H41" s="32">
        <v>5</v>
      </c>
      <c r="I41" s="32">
        <v>6</v>
      </c>
      <c r="J41" s="32">
        <v>4</v>
      </c>
      <c r="K41" s="35" cm="1">
        <f t="array" ref="K41">SUM(B41:J41)</f>
        <v>43</v>
      </c>
      <c r="L41" s="67">
        <v>7.46590909090909</v>
      </c>
      <c r="M41" s="67" cm="1">
        <f t="array" ref="M41">K41-L41</f>
        <v>35.5340909090909</v>
      </c>
      <c r="N41" s="32">
        <v>7</v>
      </c>
      <c r="O41" s="32">
        <v>4</v>
      </c>
      <c r="P41" s="38">
        <v>4</v>
      </c>
      <c r="Q41" s="32">
        <v>7</v>
      </c>
      <c r="R41" s="32">
        <v>5</v>
      </c>
      <c r="S41" s="32">
        <v>5</v>
      </c>
      <c r="T41" s="38">
        <v>4</v>
      </c>
      <c r="U41" s="32">
        <v>6</v>
      </c>
      <c r="V41" s="32">
        <v>6</v>
      </c>
      <c r="W41" s="35" cm="1">
        <f t="array" ref="W41">SUM(N41:V41)</f>
        <v>48</v>
      </c>
      <c r="X41" s="67">
        <v>7.46590909090909</v>
      </c>
      <c r="Y41" s="67" cm="1">
        <f t="array" ref="Y41">W41-X41</f>
        <v>40.5340909090909</v>
      </c>
      <c r="Z41" s="10"/>
    </row>
    <row r="42" ht="13.55" customHeight="1">
      <c r="A42" t="s" s="9">
        <v>12</v>
      </c>
      <c r="B42" s="32">
        <v>7</v>
      </c>
      <c r="C42" s="32">
        <v>6</v>
      </c>
      <c r="D42" s="32">
        <v>5</v>
      </c>
      <c r="E42" s="32">
        <v>4</v>
      </c>
      <c r="F42" s="32">
        <v>7</v>
      </c>
      <c r="G42" s="38">
        <v>3</v>
      </c>
      <c r="H42" s="32">
        <v>7</v>
      </c>
      <c r="I42" s="32">
        <v>6</v>
      </c>
      <c r="J42" s="32">
        <v>8</v>
      </c>
      <c r="K42" s="35" cm="1">
        <f t="array" ref="K42">SUM(B42:J42)</f>
        <v>53</v>
      </c>
      <c r="L42" s="67">
        <v>21.5568181818182</v>
      </c>
      <c r="M42" s="67" cm="1">
        <f t="array" ref="M42">K42-L42</f>
        <v>31.4431818181818</v>
      </c>
      <c r="N42" s="32">
        <v>9</v>
      </c>
      <c r="O42" s="32">
        <v>5</v>
      </c>
      <c r="P42" s="38">
        <v>12</v>
      </c>
      <c r="Q42" s="32">
        <v>11</v>
      </c>
      <c r="R42" s="32">
        <v>6</v>
      </c>
      <c r="S42" s="32">
        <v>7</v>
      </c>
      <c r="T42" s="38">
        <v>6</v>
      </c>
      <c r="U42" s="32">
        <v>6</v>
      </c>
      <c r="V42" s="32">
        <v>10</v>
      </c>
      <c r="W42" s="35" cm="1">
        <f t="array" ref="W42">SUM(N42:V42)</f>
        <v>72</v>
      </c>
      <c r="X42" s="67">
        <v>21.5568181818182</v>
      </c>
      <c r="Y42" s="67" cm="1">
        <f t="array" ref="Y42">W42-X42</f>
        <v>50.4431818181818</v>
      </c>
      <c r="Z42" s="10"/>
    </row>
    <row r="43" ht="13.55" customHeight="1">
      <c r="A43" t="s" s="9">
        <v>13</v>
      </c>
      <c r="B43" s="32">
        <v>4</v>
      </c>
      <c r="C43" s="32">
        <v>6</v>
      </c>
      <c r="D43" s="32">
        <v>4</v>
      </c>
      <c r="E43" s="32">
        <v>4</v>
      </c>
      <c r="F43" s="32">
        <v>7</v>
      </c>
      <c r="G43" s="38">
        <v>7</v>
      </c>
      <c r="H43" s="32">
        <v>4</v>
      </c>
      <c r="I43" s="32">
        <v>4</v>
      </c>
      <c r="J43" s="32">
        <v>4</v>
      </c>
      <c r="K43" s="35" cm="1">
        <f t="array" ref="K43">SUM(B43:J43)</f>
        <v>44</v>
      </c>
      <c r="L43" s="67">
        <v>7.375</v>
      </c>
      <c r="M43" s="67" cm="1">
        <f t="array" ref="M43">K43-L43</f>
        <v>36.625</v>
      </c>
      <c r="N43" s="32">
        <v>6</v>
      </c>
      <c r="O43" s="32">
        <v>5</v>
      </c>
      <c r="P43" s="38">
        <v>3</v>
      </c>
      <c r="Q43" s="32">
        <v>5</v>
      </c>
      <c r="R43" s="32">
        <v>9</v>
      </c>
      <c r="S43" s="32">
        <v>5</v>
      </c>
      <c r="T43" s="38">
        <v>4</v>
      </c>
      <c r="U43" s="32">
        <v>4</v>
      </c>
      <c r="V43" s="32">
        <v>5</v>
      </c>
      <c r="W43" s="35" cm="1">
        <f t="array" ref="W43">SUM(N43:V43)</f>
        <v>46</v>
      </c>
      <c r="X43" s="67">
        <v>7.375</v>
      </c>
      <c r="Y43" s="67" cm="1">
        <f t="array" ref="Y43">W43-X43</f>
        <v>38.625</v>
      </c>
      <c r="Z43" s="10"/>
    </row>
    <row r="44" ht="13.55" customHeight="1">
      <c r="A44" t="s" s="9">
        <v>14</v>
      </c>
      <c r="B44" s="32">
        <v>5</v>
      </c>
      <c r="C44" s="32">
        <v>6</v>
      </c>
      <c r="D44" s="32">
        <v>5</v>
      </c>
      <c r="E44" s="32">
        <v>6</v>
      </c>
      <c r="F44" s="32">
        <v>7</v>
      </c>
      <c r="G44" s="38">
        <v>5</v>
      </c>
      <c r="H44" s="32">
        <v>4</v>
      </c>
      <c r="I44" s="32">
        <v>4</v>
      </c>
      <c r="J44" s="32">
        <v>6</v>
      </c>
      <c r="K44" s="35" cm="1">
        <f t="array" ref="K44">SUM(B44:J44)</f>
        <v>48</v>
      </c>
      <c r="L44" s="67">
        <v>7.75961538461539</v>
      </c>
      <c r="M44" s="67" cm="1">
        <f t="array" ref="M44">K44-L44</f>
        <v>40.2403846153846</v>
      </c>
      <c r="N44" s="32">
        <v>5</v>
      </c>
      <c r="O44" s="32">
        <v>4</v>
      </c>
      <c r="P44" s="38">
        <v>3</v>
      </c>
      <c r="Q44" s="32">
        <v>8</v>
      </c>
      <c r="R44" s="32">
        <v>4</v>
      </c>
      <c r="S44" s="32">
        <v>5</v>
      </c>
      <c r="T44" s="38">
        <v>6</v>
      </c>
      <c r="U44" s="32">
        <v>5</v>
      </c>
      <c r="V44" s="32">
        <v>5</v>
      </c>
      <c r="W44" s="35" cm="1">
        <f t="array" ref="W44">SUM(N44:V44)</f>
        <v>45</v>
      </c>
      <c r="X44" s="67">
        <v>7.75961538461539</v>
      </c>
      <c r="Y44" s="67" cm="1">
        <f t="array" ref="Y44">W44-X44</f>
        <v>37.2403846153846</v>
      </c>
      <c r="Z44" s="10"/>
    </row>
    <row r="45" ht="13.55" customHeight="1">
      <c r="A45" t="s" s="9">
        <v>15</v>
      </c>
      <c r="B45" s="32">
        <v>4</v>
      </c>
      <c r="C45" s="32">
        <v>6</v>
      </c>
      <c r="D45" s="32">
        <v>6</v>
      </c>
      <c r="E45" s="32">
        <v>5</v>
      </c>
      <c r="F45" s="32">
        <v>5</v>
      </c>
      <c r="G45" s="38">
        <v>4</v>
      </c>
      <c r="H45" s="32">
        <v>6</v>
      </c>
      <c r="I45" s="32">
        <v>6</v>
      </c>
      <c r="J45" s="32">
        <v>7</v>
      </c>
      <c r="K45" s="35" cm="1">
        <f t="array" ref="K45">SUM(B45:J45)</f>
        <v>49</v>
      </c>
      <c r="L45" s="67">
        <v>10.2321428571429</v>
      </c>
      <c r="M45" s="67" cm="1">
        <f t="array" ref="M45">K45-L45</f>
        <v>38.7678571428571</v>
      </c>
      <c r="N45" s="32">
        <v>5</v>
      </c>
      <c r="O45" s="32">
        <v>5</v>
      </c>
      <c r="P45" s="38">
        <v>5</v>
      </c>
      <c r="Q45" s="32">
        <v>6</v>
      </c>
      <c r="R45" s="32">
        <v>6</v>
      </c>
      <c r="S45" s="32">
        <v>8</v>
      </c>
      <c r="T45" s="38">
        <v>5</v>
      </c>
      <c r="U45" s="32">
        <v>5</v>
      </c>
      <c r="V45" s="32">
        <v>7</v>
      </c>
      <c r="W45" s="35" cm="1">
        <f t="array" ref="W45">SUM(N45:V45)</f>
        <v>52</v>
      </c>
      <c r="X45" s="67">
        <v>10.2321428571429</v>
      </c>
      <c r="Y45" s="67" cm="1">
        <f t="array" ref="Y45">W45-X45</f>
        <v>41.7678571428571</v>
      </c>
      <c r="Z45" s="10"/>
    </row>
    <row r="46" ht="13.55" customHeight="1">
      <c r="A46" t="s" s="9">
        <v>16</v>
      </c>
      <c r="B46" s="32">
        <v>9</v>
      </c>
      <c r="C46" s="32">
        <v>6</v>
      </c>
      <c r="D46" s="32">
        <v>5</v>
      </c>
      <c r="E46" s="32">
        <v>6</v>
      </c>
      <c r="F46" s="32">
        <v>6</v>
      </c>
      <c r="G46" s="38">
        <v>4</v>
      </c>
      <c r="H46" s="32">
        <v>6</v>
      </c>
      <c r="I46" s="32">
        <v>7</v>
      </c>
      <c r="J46" s="32">
        <v>6</v>
      </c>
      <c r="K46" s="35" cm="1">
        <f t="array" ref="K46">SUM(B46:J46)</f>
        <v>55</v>
      </c>
      <c r="L46" s="67">
        <v>24.9583333333333</v>
      </c>
      <c r="M46" s="67" cm="1">
        <f t="array" ref="M46">K46-L46</f>
        <v>30.0416666666667</v>
      </c>
      <c r="N46" s="32">
        <v>8</v>
      </c>
      <c r="O46" s="32">
        <v>5</v>
      </c>
      <c r="P46" s="38">
        <v>7</v>
      </c>
      <c r="Q46" s="32">
        <v>7</v>
      </c>
      <c r="R46" s="32">
        <v>6</v>
      </c>
      <c r="S46" s="32">
        <v>12</v>
      </c>
      <c r="T46" s="38">
        <v>5</v>
      </c>
      <c r="U46" s="32">
        <v>6</v>
      </c>
      <c r="V46" s="32">
        <v>7</v>
      </c>
      <c r="W46" s="35" cm="1">
        <f t="array" ref="W46">SUM(N46:V46)</f>
        <v>63</v>
      </c>
      <c r="X46" s="67">
        <v>24.9583333333333</v>
      </c>
      <c r="Y46" s="67" cm="1">
        <f t="array" ref="Y46">W46-X46</f>
        <v>38.0416666666667</v>
      </c>
      <c r="Z46" s="10"/>
    </row>
    <row r="47" ht="13.55" customHeight="1">
      <c r="A47" s="14"/>
      <c r="B47" s="14"/>
      <c r="C47" s="14"/>
      <c r="D47" s="53"/>
      <c r="E47" t="s" s="9">
        <v>102</v>
      </c>
      <c r="F47" s="64"/>
      <c r="G47" t="s" s="55">
        <v>103</v>
      </c>
      <c r="H47" s="54"/>
      <c r="I47" s="14"/>
      <c r="J47" s="14"/>
      <c r="K47" s="14"/>
      <c r="L47" s="14"/>
      <c r="M47" s="14"/>
      <c r="N47" s="14"/>
      <c r="O47" s="53"/>
      <c r="P47" t="s" s="55">
        <v>86</v>
      </c>
      <c r="Q47" s="54"/>
      <c r="R47" s="14"/>
      <c r="S47" s="53"/>
      <c r="T47" t="s" s="55">
        <v>66</v>
      </c>
      <c r="U47" s="54"/>
      <c r="V47" s="14"/>
      <c r="W47" s="14"/>
      <c r="X47" s="14"/>
      <c r="Y47" s="14"/>
      <c r="Z47" s="8"/>
    </row>
    <row r="48" ht="13.55" customHeight="1">
      <c r="A48" s="7"/>
      <c r="B48" s="7"/>
      <c r="C48" s="7"/>
      <c r="D48" s="7"/>
      <c r="E48" s="29"/>
      <c r="F48" s="7"/>
      <c r="G48" s="29"/>
      <c r="H48" s="7"/>
      <c r="I48" s="7"/>
      <c r="J48" s="7"/>
      <c r="K48" s="7"/>
      <c r="L48" s="7"/>
      <c r="M48" s="7"/>
      <c r="N48" s="7"/>
      <c r="O48" s="7"/>
      <c r="P48" s="29"/>
      <c r="Q48" s="7"/>
      <c r="R48" s="7"/>
      <c r="S48" s="7"/>
      <c r="T48" s="29"/>
      <c r="U48" s="7"/>
      <c r="V48" s="7"/>
      <c r="W48" s="7"/>
      <c r="X48" s="7"/>
      <c r="Y48" s="7"/>
      <c r="Z48" s="8"/>
    </row>
    <row r="49" ht="13.55" customHeight="1">
      <c r="A49" t="s" s="9">
        <v>104</v>
      </c>
      <c r="B49" s="35">
        <v>1</v>
      </c>
      <c r="C49" s="35">
        <v>2</v>
      </c>
      <c r="D49" s="35">
        <v>3</v>
      </c>
      <c r="E49" s="35">
        <v>4</v>
      </c>
      <c r="F49" s="35">
        <v>5</v>
      </c>
      <c r="G49" s="35">
        <v>6</v>
      </c>
      <c r="H49" s="35">
        <v>7</v>
      </c>
      <c r="I49" s="35">
        <v>8</v>
      </c>
      <c r="J49" s="49">
        <v>9</v>
      </c>
      <c r="K49" t="s" s="9">
        <v>9</v>
      </c>
      <c r="L49" t="s" s="9">
        <v>62</v>
      </c>
      <c r="M49" t="s" s="9">
        <v>63</v>
      </c>
      <c r="N49" s="35">
        <v>10</v>
      </c>
      <c r="O49" s="35">
        <v>11</v>
      </c>
      <c r="P49" s="35">
        <v>12</v>
      </c>
      <c r="Q49" s="35">
        <v>13</v>
      </c>
      <c r="R49" s="35">
        <v>14</v>
      </c>
      <c r="S49" s="35">
        <v>15</v>
      </c>
      <c r="T49" s="49">
        <v>16</v>
      </c>
      <c r="U49" s="35">
        <v>17</v>
      </c>
      <c r="V49" s="35">
        <v>18</v>
      </c>
      <c r="W49" t="s" s="9">
        <v>9</v>
      </c>
      <c r="X49" t="s" s="9">
        <v>62</v>
      </c>
      <c r="Y49" t="s" s="9">
        <v>63</v>
      </c>
      <c r="Z49" s="10"/>
    </row>
    <row r="50" ht="13.55" customHeight="1">
      <c r="A50" t="s" s="9">
        <v>64</v>
      </c>
      <c r="B50" s="35">
        <v>5</v>
      </c>
      <c r="C50" s="35">
        <v>4</v>
      </c>
      <c r="D50" s="35">
        <v>4</v>
      </c>
      <c r="E50" s="35">
        <v>3</v>
      </c>
      <c r="F50" s="35">
        <v>4</v>
      </c>
      <c r="G50" s="35">
        <v>3</v>
      </c>
      <c r="H50" s="35">
        <v>5</v>
      </c>
      <c r="I50" s="35">
        <v>5</v>
      </c>
      <c r="J50" s="49">
        <v>3</v>
      </c>
      <c r="K50" s="35" cm="1">
        <f t="array" ref="K50">SUM(B50:J50)</f>
        <v>36</v>
      </c>
      <c r="L50" s="50"/>
      <c r="M50" s="50"/>
      <c r="N50" s="35">
        <v>5</v>
      </c>
      <c r="O50" s="35">
        <v>4</v>
      </c>
      <c r="P50" s="35">
        <v>3</v>
      </c>
      <c r="Q50" s="35">
        <v>4</v>
      </c>
      <c r="R50" s="35">
        <v>3</v>
      </c>
      <c r="S50" s="35">
        <v>5</v>
      </c>
      <c r="T50" s="49">
        <v>3</v>
      </c>
      <c r="U50" s="35">
        <v>4</v>
      </c>
      <c r="V50" s="35">
        <v>5</v>
      </c>
      <c r="W50" s="35" cm="1">
        <f t="array" ref="W50">SUM(N50:V50)</f>
        <v>36</v>
      </c>
      <c r="X50" s="51"/>
      <c r="Y50" s="50"/>
      <c r="Z50" s="10"/>
    </row>
    <row r="51" ht="13.55" customHeight="1">
      <c r="A51" t="s" s="9">
        <v>6</v>
      </c>
      <c r="B51" s="52"/>
      <c r="C51" s="52"/>
      <c r="D51" s="52"/>
      <c r="E51" s="52"/>
      <c r="F51" s="52"/>
      <c r="G51" s="52"/>
      <c r="H51" s="52"/>
      <c r="I51" s="52"/>
      <c r="J51" s="52"/>
      <c r="K51" s="52"/>
      <c r="L51" s="52"/>
      <c r="M51" s="52"/>
      <c r="N51" s="52"/>
      <c r="O51" s="52"/>
      <c r="P51" s="52"/>
      <c r="Q51" s="52"/>
      <c r="R51" s="52"/>
      <c r="S51" s="52"/>
      <c r="T51" s="52"/>
      <c r="U51" s="52"/>
      <c r="V51" s="52"/>
      <c r="W51" s="52"/>
      <c r="X51" s="52"/>
      <c r="Y51" s="52"/>
      <c r="Z51" s="10"/>
    </row>
    <row r="52" ht="13.55" customHeight="1">
      <c r="A52" t="s" s="9">
        <v>10</v>
      </c>
      <c r="B52" s="32">
        <v>9</v>
      </c>
      <c r="C52" s="32">
        <v>7</v>
      </c>
      <c r="D52" s="32">
        <v>5</v>
      </c>
      <c r="E52" s="32">
        <v>4</v>
      </c>
      <c r="F52" s="32">
        <v>5</v>
      </c>
      <c r="G52" s="32">
        <v>5</v>
      </c>
      <c r="H52" s="32">
        <v>7</v>
      </c>
      <c r="I52" s="32">
        <v>8</v>
      </c>
      <c r="J52" s="38">
        <v>4</v>
      </c>
      <c r="K52" s="35" cm="1">
        <f t="array" ref="K52">SUM(B52:J52)</f>
        <v>54</v>
      </c>
      <c r="L52" s="67">
        <v>24.2916666666667</v>
      </c>
      <c r="M52" s="67" cm="1">
        <f t="array" ref="M52">K52-L52</f>
        <v>29.7083333333333</v>
      </c>
      <c r="N52" s="32">
        <v>6</v>
      </c>
      <c r="O52" s="32">
        <v>6</v>
      </c>
      <c r="P52" s="32">
        <v>4</v>
      </c>
      <c r="Q52" s="32">
        <v>6</v>
      </c>
      <c r="R52" s="32">
        <v>5</v>
      </c>
      <c r="S52" s="32">
        <v>7</v>
      </c>
      <c r="T52" s="38">
        <v>6</v>
      </c>
      <c r="U52" s="32">
        <v>9</v>
      </c>
      <c r="V52" s="32">
        <v>10</v>
      </c>
      <c r="W52" s="35" cm="1">
        <f t="array" ref="W52">SUM(N52:V52)</f>
        <v>59</v>
      </c>
      <c r="X52" s="67">
        <v>24.2916666666667</v>
      </c>
      <c r="Y52" s="67" cm="1">
        <f t="array" ref="Y52">W52-X52</f>
        <v>34.7083333333333</v>
      </c>
      <c r="Z52" s="10"/>
    </row>
    <row r="53" ht="13.55" customHeight="1">
      <c r="A53" t="s" s="9">
        <v>17</v>
      </c>
      <c r="B53" s="32">
        <v>6</v>
      </c>
      <c r="C53" s="32">
        <v>7</v>
      </c>
      <c r="D53" s="32">
        <v>5</v>
      </c>
      <c r="E53" s="32">
        <v>5</v>
      </c>
      <c r="F53" s="32">
        <v>3</v>
      </c>
      <c r="G53" s="32">
        <v>4</v>
      </c>
      <c r="H53" s="32">
        <v>6</v>
      </c>
      <c r="I53" s="32">
        <v>5</v>
      </c>
      <c r="J53" s="38">
        <v>3</v>
      </c>
      <c r="K53" s="35" cm="1">
        <f t="array" ref="K53">SUM(B53:J53)</f>
        <v>44</v>
      </c>
      <c r="L53" s="67">
        <v>12.675</v>
      </c>
      <c r="M53" s="67" cm="1">
        <f t="array" ref="M53">K53-L53</f>
        <v>31.325</v>
      </c>
      <c r="N53" s="32">
        <v>7</v>
      </c>
      <c r="O53" s="32">
        <v>5</v>
      </c>
      <c r="P53" s="32">
        <v>5</v>
      </c>
      <c r="Q53" s="32">
        <v>5</v>
      </c>
      <c r="R53" s="32">
        <v>3</v>
      </c>
      <c r="S53" s="32">
        <v>6</v>
      </c>
      <c r="T53" s="38">
        <v>4</v>
      </c>
      <c r="U53" s="32">
        <v>7</v>
      </c>
      <c r="V53" s="32">
        <v>7</v>
      </c>
      <c r="W53" s="35" cm="1">
        <f t="array" ref="W53">SUM(N53:V53)</f>
        <v>49</v>
      </c>
      <c r="X53" s="67">
        <v>12.675</v>
      </c>
      <c r="Y53" s="67" cm="1">
        <f t="array" ref="Y53">W53-X53</f>
        <v>36.325</v>
      </c>
      <c r="Z53" s="10"/>
    </row>
    <row r="54" ht="13.55" customHeight="1">
      <c r="A54" t="s" s="9">
        <v>11</v>
      </c>
      <c r="B54" s="37"/>
      <c r="C54" s="37"/>
      <c r="D54" s="37"/>
      <c r="E54" s="37"/>
      <c r="F54" s="37"/>
      <c r="G54" s="37"/>
      <c r="H54" s="37"/>
      <c r="I54" s="37"/>
      <c r="J54" s="39"/>
      <c r="K54" s="35" cm="1">
        <f t="array" ref="K54">SUM(B54:J54)</f>
        <v>0</v>
      </c>
      <c r="L54" s="67">
        <v>7.46590909090909</v>
      </c>
      <c r="M54" s="67" cm="1">
        <f t="array" ref="M54">K54-L54</f>
        <v>-7.46590909090909</v>
      </c>
      <c r="N54" s="37"/>
      <c r="O54" s="37"/>
      <c r="P54" s="37"/>
      <c r="Q54" s="37"/>
      <c r="R54" s="37"/>
      <c r="S54" s="37"/>
      <c r="T54" s="39"/>
      <c r="U54" s="37"/>
      <c r="V54" s="37"/>
      <c r="W54" s="35" cm="1">
        <f t="array" ref="W54">SUM(N54:V54)</f>
        <v>0</v>
      </c>
      <c r="X54" s="67">
        <v>7.46590909090909</v>
      </c>
      <c r="Y54" s="67" cm="1">
        <f t="array" ref="Y54">W54-X54</f>
        <v>-7.46590909090909</v>
      </c>
      <c r="Z54" s="10"/>
    </row>
    <row r="55" ht="13.55" customHeight="1">
      <c r="A55" t="s" s="9">
        <v>12</v>
      </c>
      <c r="B55" s="32">
        <v>9</v>
      </c>
      <c r="C55" s="32">
        <v>5</v>
      </c>
      <c r="D55" s="32">
        <v>5</v>
      </c>
      <c r="E55" s="32">
        <v>4</v>
      </c>
      <c r="F55" s="32">
        <v>6</v>
      </c>
      <c r="G55" s="32">
        <v>4</v>
      </c>
      <c r="H55" s="32">
        <v>7</v>
      </c>
      <c r="I55" s="32">
        <v>12</v>
      </c>
      <c r="J55" s="38">
        <v>4</v>
      </c>
      <c r="K55" s="35" cm="1">
        <f t="array" ref="K55">SUM(B55:J55)</f>
        <v>56</v>
      </c>
      <c r="L55" s="67">
        <v>21.5568181818182</v>
      </c>
      <c r="M55" s="67" cm="1">
        <f t="array" ref="M55">K55-L55</f>
        <v>34.4431818181818</v>
      </c>
      <c r="N55" s="32">
        <v>6</v>
      </c>
      <c r="O55" s="32">
        <v>9</v>
      </c>
      <c r="P55" s="32">
        <v>3</v>
      </c>
      <c r="Q55" s="32">
        <v>5</v>
      </c>
      <c r="R55" s="32">
        <v>4</v>
      </c>
      <c r="S55" s="32">
        <v>8</v>
      </c>
      <c r="T55" s="38">
        <v>4</v>
      </c>
      <c r="U55" s="32">
        <v>6</v>
      </c>
      <c r="V55" s="32">
        <v>12</v>
      </c>
      <c r="W55" s="35" cm="1">
        <f t="array" ref="W55">SUM(N55:V55)</f>
        <v>57</v>
      </c>
      <c r="X55" s="67">
        <v>21.5568181818182</v>
      </c>
      <c r="Y55" s="67" cm="1">
        <f t="array" ref="Y55">W55-X55</f>
        <v>35.4431818181818</v>
      </c>
      <c r="Z55" s="10"/>
    </row>
    <row r="56" ht="13.55" customHeight="1">
      <c r="A56" t="s" s="9">
        <v>13</v>
      </c>
      <c r="B56" s="32">
        <v>5</v>
      </c>
      <c r="C56" s="32">
        <v>5</v>
      </c>
      <c r="D56" s="32">
        <v>4</v>
      </c>
      <c r="E56" s="32">
        <v>4</v>
      </c>
      <c r="F56" s="32">
        <v>4</v>
      </c>
      <c r="G56" s="32">
        <v>4</v>
      </c>
      <c r="H56" s="32">
        <v>5</v>
      </c>
      <c r="I56" s="32">
        <v>5</v>
      </c>
      <c r="J56" s="38">
        <v>3</v>
      </c>
      <c r="K56" s="35" cm="1">
        <f t="array" ref="K56">SUM(B56:J56)</f>
        <v>39</v>
      </c>
      <c r="L56" s="67">
        <v>7.375</v>
      </c>
      <c r="M56" s="67" cm="1">
        <f t="array" ref="M56">K56-L56</f>
        <v>31.625</v>
      </c>
      <c r="N56" s="32">
        <v>5</v>
      </c>
      <c r="O56" s="32">
        <v>5</v>
      </c>
      <c r="P56" s="32">
        <v>5</v>
      </c>
      <c r="Q56" s="32">
        <v>6</v>
      </c>
      <c r="R56" s="32">
        <v>5</v>
      </c>
      <c r="S56" s="32">
        <v>5</v>
      </c>
      <c r="T56" s="38">
        <v>3</v>
      </c>
      <c r="U56" s="32">
        <v>4</v>
      </c>
      <c r="V56" s="32">
        <v>7</v>
      </c>
      <c r="W56" s="35" cm="1">
        <f t="array" ref="W56">SUM(N56:V56)</f>
        <v>45</v>
      </c>
      <c r="X56" s="67">
        <v>7.375</v>
      </c>
      <c r="Y56" s="67" cm="1">
        <f t="array" ref="Y56">W56-X56</f>
        <v>37.625</v>
      </c>
      <c r="Z56" s="10"/>
    </row>
    <row r="57" ht="13.55" customHeight="1">
      <c r="A57" t="s" s="9">
        <v>14</v>
      </c>
      <c r="B57" s="32">
        <v>5</v>
      </c>
      <c r="C57" s="32">
        <v>5</v>
      </c>
      <c r="D57" s="32">
        <v>5</v>
      </c>
      <c r="E57" s="32">
        <v>2</v>
      </c>
      <c r="F57" s="32">
        <v>5</v>
      </c>
      <c r="G57" s="32">
        <v>3</v>
      </c>
      <c r="H57" s="32">
        <v>9</v>
      </c>
      <c r="I57" s="32">
        <v>6</v>
      </c>
      <c r="J57" s="38">
        <v>4</v>
      </c>
      <c r="K57" s="35" cm="1">
        <f t="array" ref="K57">SUM(B57:J57)</f>
        <v>44</v>
      </c>
      <c r="L57" s="67">
        <v>7.75961538461539</v>
      </c>
      <c r="M57" s="67" cm="1">
        <f t="array" ref="M57">K57-L57</f>
        <v>36.2403846153846</v>
      </c>
      <c r="N57" s="32">
        <v>5</v>
      </c>
      <c r="O57" s="32">
        <v>4</v>
      </c>
      <c r="P57" s="32">
        <v>4</v>
      </c>
      <c r="Q57" s="32">
        <v>4</v>
      </c>
      <c r="R57" s="32">
        <v>4</v>
      </c>
      <c r="S57" s="32">
        <v>4</v>
      </c>
      <c r="T57" s="38">
        <v>4</v>
      </c>
      <c r="U57" s="32">
        <v>5</v>
      </c>
      <c r="V57" s="32">
        <v>5</v>
      </c>
      <c r="W57" s="35" cm="1">
        <f t="array" ref="W57">SUM(N57:V57)</f>
        <v>39</v>
      </c>
      <c r="X57" s="67">
        <v>7.75961538461539</v>
      </c>
      <c r="Y57" s="67" cm="1">
        <f t="array" ref="Y57">W57-X57</f>
        <v>31.2403846153846</v>
      </c>
      <c r="Z57" s="10"/>
    </row>
    <row r="58" ht="13.55" customHeight="1">
      <c r="A58" t="s" s="9">
        <v>15</v>
      </c>
      <c r="B58" s="32">
        <v>5</v>
      </c>
      <c r="C58" s="32">
        <v>4</v>
      </c>
      <c r="D58" s="32">
        <v>5</v>
      </c>
      <c r="E58" s="32">
        <v>3</v>
      </c>
      <c r="F58" s="32">
        <v>5</v>
      </c>
      <c r="G58" s="32">
        <v>3</v>
      </c>
      <c r="H58" s="32">
        <v>6</v>
      </c>
      <c r="I58" s="32">
        <v>4</v>
      </c>
      <c r="J58" s="38">
        <v>2</v>
      </c>
      <c r="K58" s="35" cm="1">
        <f t="array" ref="K58">SUM(B58:J58)</f>
        <v>37</v>
      </c>
      <c r="L58" s="67">
        <v>10.2321428571429</v>
      </c>
      <c r="M58" s="67" cm="1">
        <f t="array" ref="M58">K58-L58</f>
        <v>26.7678571428571</v>
      </c>
      <c r="N58" s="32">
        <v>7</v>
      </c>
      <c r="O58" s="32">
        <v>5</v>
      </c>
      <c r="P58" s="32">
        <v>4</v>
      </c>
      <c r="Q58" s="32">
        <v>6</v>
      </c>
      <c r="R58" s="32">
        <v>3</v>
      </c>
      <c r="S58" s="32">
        <v>5</v>
      </c>
      <c r="T58" s="38">
        <v>4</v>
      </c>
      <c r="U58" s="32">
        <v>3</v>
      </c>
      <c r="V58" s="32">
        <v>5</v>
      </c>
      <c r="W58" s="35" cm="1">
        <f t="array" ref="W58">SUM(N58:V58)</f>
        <v>42</v>
      </c>
      <c r="X58" s="67">
        <v>10.2321428571429</v>
      </c>
      <c r="Y58" s="67" cm="1">
        <f t="array" ref="Y58">W58-X58</f>
        <v>31.7678571428571</v>
      </c>
      <c r="Z58" s="10"/>
    </row>
    <row r="59" ht="13.55" customHeight="1">
      <c r="A59" t="s" s="9">
        <v>16</v>
      </c>
      <c r="B59" s="32">
        <v>7</v>
      </c>
      <c r="C59" s="32">
        <v>6</v>
      </c>
      <c r="D59" s="32">
        <v>6</v>
      </c>
      <c r="E59" s="32">
        <v>5</v>
      </c>
      <c r="F59" s="32">
        <v>4</v>
      </c>
      <c r="G59" s="32">
        <v>4</v>
      </c>
      <c r="H59" s="32">
        <v>7</v>
      </c>
      <c r="I59" s="32">
        <v>9</v>
      </c>
      <c r="J59" s="38">
        <v>4</v>
      </c>
      <c r="K59" s="35" cm="1">
        <f t="array" ref="K59">SUM(B59:J59)</f>
        <v>52</v>
      </c>
      <c r="L59" s="67">
        <v>24.9583333333333</v>
      </c>
      <c r="M59" s="67" cm="1">
        <f t="array" ref="M59">K59-L59</f>
        <v>27.0416666666667</v>
      </c>
      <c r="N59" s="32">
        <v>8</v>
      </c>
      <c r="O59" s="32">
        <v>6</v>
      </c>
      <c r="P59" s="32">
        <v>5</v>
      </c>
      <c r="Q59" s="32">
        <v>5</v>
      </c>
      <c r="R59" s="32">
        <v>3</v>
      </c>
      <c r="S59" s="32">
        <v>6</v>
      </c>
      <c r="T59" s="38">
        <v>3</v>
      </c>
      <c r="U59" s="32">
        <v>7</v>
      </c>
      <c r="V59" s="32">
        <v>10</v>
      </c>
      <c r="W59" s="35" cm="1">
        <f t="array" ref="W59">SUM(N59:V59)</f>
        <v>53</v>
      </c>
      <c r="X59" s="67">
        <v>24.9583333333333</v>
      </c>
      <c r="Y59" s="67" cm="1">
        <f t="array" ref="Y59">W59-X59</f>
        <v>28.0416666666667</v>
      </c>
      <c r="Z59" s="10"/>
    </row>
    <row r="60" ht="13.55" customHeight="1">
      <c r="A60" s="14"/>
      <c r="B60" s="14"/>
      <c r="C60" s="58"/>
      <c r="D60" s="14"/>
      <c r="E60" s="62"/>
      <c r="F60" s="63"/>
      <c r="G60" t="s" s="9">
        <v>105</v>
      </c>
      <c r="H60" s="54"/>
      <c r="I60" s="53"/>
      <c r="J60" t="s" s="55">
        <v>106</v>
      </c>
      <c r="K60" s="54"/>
      <c r="L60" s="14"/>
      <c r="M60" s="14"/>
      <c r="N60" s="14"/>
      <c r="O60" s="53"/>
      <c r="P60" t="s" s="9">
        <v>107</v>
      </c>
      <c r="Q60" s="54"/>
      <c r="R60" s="14"/>
      <c r="S60" s="53"/>
      <c r="T60" t="s" s="55">
        <v>108</v>
      </c>
      <c r="U60" s="54"/>
      <c r="V60" s="14"/>
      <c r="W60" s="14"/>
      <c r="X60" s="14"/>
      <c r="Y60" s="14"/>
      <c r="Z60" s="8"/>
    </row>
  </sheetData>
  <mergeCells count="3">
    <mergeCell ref="A12:N12"/>
    <mergeCell ref="P12:Q12"/>
    <mergeCell ref="T12:Z1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3" width="8.85156" style="68" customWidth="1"/>
    <col min="4" max="4" width="9.5" style="68" customWidth="1"/>
    <col min="5" max="5" width="8.85156" style="68" customWidth="1"/>
    <col min="6" max="16384" width="8.85156" style="68" customWidth="1"/>
  </cols>
  <sheetData>
    <row r="1" ht="13.55" customHeight="1">
      <c r="A1" t="s" s="9">
        <v>24</v>
      </c>
      <c r="B1" s="30"/>
      <c r="C1" s="30"/>
      <c r="D1" s="30"/>
      <c r="E1" s="30"/>
    </row>
    <row r="2" ht="13.55" customHeight="1">
      <c r="A2" t="s" s="9">
        <v>6</v>
      </c>
      <c r="B2" t="s" s="9">
        <v>25</v>
      </c>
      <c r="C2" t="s" s="9">
        <v>27</v>
      </c>
      <c r="D2" t="s" s="9">
        <v>110</v>
      </c>
      <c r="E2" t="s" s="9">
        <v>111</v>
      </c>
    </row>
    <row r="3" ht="13.55" customHeight="1">
      <c r="A3" t="s" s="9">
        <v>10</v>
      </c>
      <c r="B3" s="32" cm="1">
        <f t="array" ref="B3">'Wk1and2'!K5</f>
        <v>63</v>
      </c>
      <c r="C3" s="32" cm="1">
        <f t="array" ref="C3">'Wk1and2'!V5</f>
        <v>60</v>
      </c>
      <c r="D3" s="33" cm="1">
        <f t="array" ref="D3">(B3+C3)/2</f>
        <v>61.5</v>
      </c>
      <c r="E3" s="33" cm="1">
        <f t="array" ref="E3">D3-36</f>
        <v>25.5</v>
      </c>
    </row>
    <row r="4" ht="13.55" customHeight="1">
      <c r="A4" t="s" s="9">
        <v>17</v>
      </c>
      <c r="B4" s="32" cm="1">
        <f t="array" ref="B4">'Wk1and2'!K7</f>
        <v>43</v>
      </c>
      <c r="C4" s="32" cm="1">
        <f t="array" ref="C4">'Wk1and2'!V7</f>
        <v>50</v>
      </c>
      <c r="D4" s="33" cm="1">
        <f t="array" ref="D4">(B4+C4)/2</f>
        <v>46.5</v>
      </c>
      <c r="E4" s="33" cm="1">
        <f t="array" ref="E4">D4-36</f>
        <v>10.5</v>
      </c>
    </row>
    <row r="5" ht="13.55" customHeight="1">
      <c r="A5" t="s" s="9">
        <v>11</v>
      </c>
      <c r="B5" s="32" cm="1">
        <f t="array" ref="B5">'Wk1and2'!K9</f>
        <v>42</v>
      </c>
      <c r="C5" s="32" cm="1">
        <f t="array" ref="C5">'Wk1and2'!V9</f>
        <v>44</v>
      </c>
      <c r="D5" s="33" cm="1">
        <f t="array" ref="D5">(B5+C5)/2</f>
        <v>43</v>
      </c>
      <c r="E5" s="33" cm="1">
        <f t="array" ref="E5">D5-36</f>
        <v>7</v>
      </c>
    </row>
    <row r="6" ht="13.55" customHeight="1">
      <c r="A6" t="s" s="9">
        <v>12</v>
      </c>
      <c r="B6" s="32" cm="1">
        <f t="array" ref="B6">'Wk1and2'!K11</f>
        <v>59</v>
      </c>
      <c r="C6" s="32" cm="1">
        <f t="array" ref="C6">'Wk1and2'!V11</f>
        <v>57</v>
      </c>
      <c r="D6" s="33" cm="1">
        <f t="array" ref="D6">(B6+C6)/2</f>
        <v>58</v>
      </c>
      <c r="E6" s="33" cm="1">
        <f t="array" ref="E6">D6-36</f>
        <v>22</v>
      </c>
    </row>
    <row r="7" ht="13.55" customHeight="1">
      <c r="A7" t="s" s="9">
        <v>13</v>
      </c>
      <c r="B7" s="32" cm="1">
        <f t="array" ref="B7">'Wk1and2'!K13</f>
        <v>52</v>
      </c>
      <c r="C7" s="32" cm="1">
        <f t="array" ref="C7">'Wk1and2'!V13</f>
        <v>45</v>
      </c>
      <c r="D7" s="33" cm="1">
        <f t="array" ref="D7">(B7+C7)/2</f>
        <v>48.5</v>
      </c>
      <c r="E7" s="33" cm="1">
        <f t="array" ref="E7">D7-36</f>
        <v>12.5</v>
      </c>
    </row>
    <row r="8" ht="13.55" customHeight="1">
      <c r="A8" t="s" s="9">
        <v>14</v>
      </c>
      <c r="B8" s="32" cm="1">
        <f t="array" ref="B8">'Wk1and2'!K15</f>
        <v>45</v>
      </c>
      <c r="C8" s="32" cm="1">
        <f t="array" ref="C8">'Wk1and2'!V15</f>
        <v>51</v>
      </c>
      <c r="D8" s="33" cm="1">
        <f t="array" ref="D8">(B8+C8)/2</f>
        <v>48</v>
      </c>
      <c r="E8" s="33" cm="1">
        <f t="array" ref="E8">D8-36</f>
        <v>12</v>
      </c>
    </row>
    <row r="9" ht="13.55" customHeight="1">
      <c r="A9" t="s" s="9">
        <v>15</v>
      </c>
      <c r="B9" s="32" cm="1">
        <f t="array" ref="B9">'Wk1and2'!K17</f>
        <v>47</v>
      </c>
      <c r="C9" s="32" cm="1">
        <f t="array" ref="C9">'Wk1and2'!V17</f>
        <v>50</v>
      </c>
      <c r="D9" s="33" cm="1">
        <f t="array" ref="D9">(B9+C9)/2</f>
        <v>48.5</v>
      </c>
      <c r="E9" s="33" cm="1">
        <f t="array" ref="E9">D9-36</f>
        <v>12.5</v>
      </c>
    </row>
    <row r="10" ht="13.55" customHeight="1">
      <c r="A10" t="s" s="9">
        <v>16</v>
      </c>
      <c r="B10" s="32">
        <v>59</v>
      </c>
      <c r="C10" s="32" cm="1">
        <f t="array" ref="C10">'Wk1and2'!V19</f>
        <v>59</v>
      </c>
      <c r="D10" s="33" cm="1">
        <f t="array" ref="D10">(B10+C10)/2</f>
        <v>59</v>
      </c>
      <c r="E10" s="33" cm="1">
        <f t="array" ref="E10">D10-36</f>
        <v>23</v>
      </c>
    </row>
  </sheetData>
  <mergeCells count="1">
    <mergeCell ref="A1:E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W19"/>
  <sheetViews>
    <sheetView workbookViewId="0" showGridLines="0" defaultGridColor="1"/>
  </sheetViews>
  <sheetFormatPr defaultColWidth="8.83333" defaultRowHeight="14.5" customHeight="1" outlineLevelRow="0" outlineLevelCol="0"/>
  <cols>
    <col min="1" max="1" width="18.3516" style="69" customWidth="1"/>
    <col min="2" max="23" width="8.85156" style="69" customWidth="1"/>
    <col min="24" max="16384" width="8.85156" style="69" customWidth="1"/>
  </cols>
  <sheetData>
    <row r="1" ht="13.55" customHeight="1">
      <c r="A1" t="s" s="9">
        <v>113</v>
      </c>
      <c r="B1" s="35">
        <v>1</v>
      </c>
      <c r="C1" s="35">
        <v>2</v>
      </c>
      <c r="D1" s="35">
        <v>3</v>
      </c>
      <c r="E1" s="35">
        <v>4</v>
      </c>
      <c r="F1" s="35">
        <v>5</v>
      </c>
      <c r="G1" s="35">
        <v>6</v>
      </c>
      <c r="H1" s="35">
        <v>7</v>
      </c>
      <c r="I1" s="35">
        <v>8</v>
      </c>
      <c r="J1" s="35">
        <v>9</v>
      </c>
      <c r="K1" t="s" s="9">
        <v>9</v>
      </c>
      <c r="L1" t="s" s="9">
        <v>62</v>
      </c>
      <c r="M1" s="35">
        <v>10</v>
      </c>
      <c r="N1" s="35">
        <v>11</v>
      </c>
      <c r="O1" s="35">
        <v>12</v>
      </c>
      <c r="P1" s="35">
        <v>13</v>
      </c>
      <c r="Q1" s="35">
        <v>14</v>
      </c>
      <c r="R1" s="35">
        <v>15</v>
      </c>
      <c r="S1" s="35">
        <v>16</v>
      </c>
      <c r="T1" s="35">
        <v>17</v>
      </c>
      <c r="U1" s="35">
        <v>18</v>
      </c>
      <c r="V1" t="s" s="9">
        <v>9</v>
      </c>
      <c r="W1" t="s" s="9">
        <v>62</v>
      </c>
    </row>
    <row r="2" ht="13.55" customHeight="1">
      <c r="A2" t="s" s="9">
        <v>64</v>
      </c>
      <c r="B2" s="35">
        <v>4</v>
      </c>
      <c r="C2" s="35">
        <v>3</v>
      </c>
      <c r="D2" s="35">
        <v>4</v>
      </c>
      <c r="E2" s="35">
        <v>5</v>
      </c>
      <c r="F2" s="35">
        <v>3</v>
      </c>
      <c r="G2" s="35">
        <v>4</v>
      </c>
      <c r="H2" s="35">
        <v>4</v>
      </c>
      <c r="I2" s="35">
        <v>5</v>
      </c>
      <c r="J2" s="35">
        <v>4</v>
      </c>
      <c r="K2" s="35" cm="1">
        <f t="array" ref="K2">SUM(B2:J2)</f>
        <v>36</v>
      </c>
      <c r="L2" s="30"/>
      <c r="M2" s="35">
        <v>3</v>
      </c>
      <c r="N2" s="35">
        <v>4</v>
      </c>
      <c r="O2" s="35">
        <v>4</v>
      </c>
      <c r="P2" s="35">
        <v>5</v>
      </c>
      <c r="Q2" s="35">
        <v>4</v>
      </c>
      <c r="R2" s="35">
        <v>4</v>
      </c>
      <c r="S2" s="35">
        <v>3</v>
      </c>
      <c r="T2" s="35">
        <v>4</v>
      </c>
      <c r="U2" s="35">
        <v>5</v>
      </c>
      <c r="V2" s="35" cm="1">
        <f t="array" ref="V2">SUM(M2:U2)</f>
        <v>36</v>
      </c>
      <c r="W2" s="70"/>
    </row>
    <row r="3" ht="13.55" customHeight="1">
      <c r="A3" t="s" s="9">
        <v>6</v>
      </c>
      <c r="B3" s="52"/>
      <c r="C3" s="52"/>
      <c r="D3" s="52"/>
      <c r="E3" s="52"/>
      <c r="F3" s="52"/>
      <c r="G3" s="52"/>
      <c r="H3" s="52"/>
      <c r="I3" s="52"/>
      <c r="J3" s="52"/>
      <c r="K3" s="52"/>
      <c r="L3" s="52"/>
      <c r="M3" s="52"/>
      <c r="N3" s="52"/>
      <c r="O3" s="52"/>
      <c r="P3" s="52"/>
      <c r="Q3" s="52"/>
      <c r="R3" s="52"/>
      <c r="S3" s="52"/>
      <c r="T3" s="52"/>
      <c r="U3" s="52"/>
      <c r="V3" s="52"/>
      <c r="W3" s="52"/>
    </row>
    <row r="4" ht="13.55" customHeight="1">
      <c r="A4" t="s" s="9">
        <v>10</v>
      </c>
      <c r="B4" s="32">
        <v>7</v>
      </c>
      <c r="C4" s="32">
        <v>4</v>
      </c>
      <c r="D4" s="32">
        <v>7</v>
      </c>
      <c r="E4" s="32">
        <v>9</v>
      </c>
      <c r="F4" s="32">
        <v>7</v>
      </c>
      <c r="G4" s="32">
        <v>8</v>
      </c>
      <c r="H4" s="32">
        <v>8</v>
      </c>
      <c r="I4" s="32">
        <v>8</v>
      </c>
      <c r="J4" s="32">
        <v>6</v>
      </c>
      <c r="K4" s="35" cm="1">
        <f t="array" ref="K4">SUM(B4:J4)</f>
        <v>64</v>
      </c>
      <c r="L4" s="30"/>
      <c r="M4" s="32">
        <v>5</v>
      </c>
      <c r="N4" s="32">
        <v>6</v>
      </c>
      <c r="O4" s="32">
        <v>7</v>
      </c>
      <c r="P4" s="32">
        <v>9</v>
      </c>
      <c r="Q4" s="32">
        <v>7</v>
      </c>
      <c r="R4" s="32">
        <v>9</v>
      </c>
      <c r="S4" s="32">
        <v>4</v>
      </c>
      <c r="T4" s="32">
        <v>6</v>
      </c>
      <c r="U4" s="32">
        <v>8</v>
      </c>
      <c r="V4" s="35" cm="1">
        <f t="array" ref="V4">SUM(M4:U4)</f>
        <v>61</v>
      </c>
      <c r="W4" s="70"/>
    </row>
    <row r="5" ht="13.55" customHeight="1">
      <c r="A5" t="s" s="36">
        <v>114</v>
      </c>
      <c r="B5" s="35" cm="1">
        <f t="array" ref="B5">IF(B4&gt;B2*2,B2*2,B4)</f>
        <v>7</v>
      </c>
      <c r="C5" s="35" cm="1">
        <f t="array" ref="C5">IF(C4&gt;C2*2,C2*2,C4)</f>
        <v>4</v>
      </c>
      <c r="D5" s="35" cm="1">
        <f t="array" ref="D5">IF(D4&gt;D2*2,D2*2,D4)</f>
        <v>7</v>
      </c>
      <c r="E5" s="35" cm="1">
        <f t="array" ref="E5">IF(E4&gt;E2*2,E2*2,E4)</f>
        <v>9</v>
      </c>
      <c r="F5" s="35" cm="1">
        <f t="array" ref="F5">IF(F4&gt;F2*2,F2*2,F4)</f>
        <v>6</v>
      </c>
      <c r="G5" s="35" cm="1">
        <f t="array" ref="G5">IF(G4&gt;G2*2,G2*2,G4)</f>
        <v>8</v>
      </c>
      <c r="H5" s="35" cm="1">
        <f t="array" ref="H5">IF(H4&gt;H2*2,H2*2,H4)</f>
        <v>8</v>
      </c>
      <c r="I5" s="35" cm="1">
        <f t="array" ref="I5">IF(I4&gt;I2*2,I2*2,I4)</f>
        <v>8</v>
      </c>
      <c r="J5" s="35" cm="1">
        <f t="array" ref="J5">IF(J4&gt;J2*2,J2*2,J4)</f>
        <v>6</v>
      </c>
      <c r="K5" s="35" cm="1">
        <f t="array" ref="K5">SUM(B5:J5)</f>
        <v>63</v>
      </c>
      <c r="L5" s="35" cm="1">
        <f t="array" ref="L5">K5-K2</f>
        <v>27</v>
      </c>
      <c r="M5" s="35" cm="1">
        <f t="array" ref="M5">IF(M4&gt;M2*2,M2*2,M4)</f>
        <v>5</v>
      </c>
      <c r="N5" s="35" cm="1">
        <f t="array" ref="N5">IF(N4&gt;N2*2,N2*2,N4)</f>
        <v>6</v>
      </c>
      <c r="O5" s="35" cm="1">
        <f t="array" ref="O5">IF(O4&gt;O2*2,O2*2,O4)</f>
        <v>7</v>
      </c>
      <c r="P5" s="35" cm="1">
        <f t="array" ref="P5">IF(P4&gt;P2*2,P2*2,P4)</f>
        <v>9</v>
      </c>
      <c r="Q5" s="35" cm="1">
        <f t="array" ref="Q5">IF(Q4&gt;Q2*2,Q2*2,Q4)</f>
        <v>7</v>
      </c>
      <c r="R5" s="35" cm="1">
        <f t="array" ref="R5">IF(R4&gt;R2*2,R2*2,R4)</f>
        <v>8</v>
      </c>
      <c r="S5" s="35" cm="1">
        <f t="array" ref="S5">IF(S4&gt;S2*2,S2*2,S4)</f>
        <v>4</v>
      </c>
      <c r="T5" s="35" cm="1">
        <f t="array" ref="T5">IF(T4&gt;T2*2,T2*2,T4)</f>
        <v>6</v>
      </c>
      <c r="U5" s="35" cm="1">
        <f t="array" ref="U5">IF(U4&gt;U2*2,U2*2,U4)</f>
        <v>8</v>
      </c>
      <c r="V5" s="35" cm="1">
        <f t="array" ref="V5">SUM(M5:U5)</f>
        <v>60</v>
      </c>
      <c r="W5" s="71" cm="1">
        <f t="array" ref="W5">V5-V2</f>
        <v>24</v>
      </c>
    </row>
    <row r="6" ht="13.55" customHeight="1">
      <c r="A6" t="s" s="9">
        <v>17</v>
      </c>
      <c r="B6" s="32">
        <v>5</v>
      </c>
      <c r="C6" s="32">
        <v>2</v>
      </c>
      <c r="D6" s="32">
        <v>5</v>
      </c>
      <c r="E6" s="32">
        <v>6</v>
      </c>
      <c r="F6" s="32">
        <v>3</v>
      </c>
      <c r="G6" s="32">
        <v>5</v>
      </c>
      <c r="H6" s="32">
        <v>4</v>
      </c>
      <c r="I6" s="32">
        <v>7</v>
      </c>
      <c r="J6" s="32">
        <v>6</v>
      </c>
      <c r="K6" s="35" cm="1">
        <f t="array" ref="K6">SUM(B6:J6)</f>
        <v>43</v>
      </c>
      <c r="L6" s="30"/>
      <c r="M6" s="32">
        <v>4</v>
      </c>
      <c r="N6" s="32">
        <v>5</v>
      </c>
      <c r="O6" s="32">
        <v>6</v>
      </c>
      <c r="P6" s="32">
        <v>5</v>
      </c>
      <c r="Q6" s="32">
        <v>6</v>
      </c>
      <c r="R6" s="32">
        <v>6</v>
      </c>
      <c r="S6" s="32">
        <v>6</v>
      </c>
      <c r="T6" s="32">
        <v>6</v>
      </c>
      <c r="U6" s="32">
        <v>6</v>
      </c>
      <c r="V6" s="35" cm="1">
        <f t="array" ref="V6">SUM(M6:U6)</f>
        <v>50</v>
      </c>
      <c r="W6" s="70"/>
    </row>
    <row r="7" ht="13.55" customHeight="1">
      <c r="A7" t="s" s="36">
        <v>114</v>
      </c>
      <c r="B7" s="35" cm="1">
        <f t="array" ref="B7">IF(B6&gt;B2*2,B2*2,B6)</f>
        <v>5</v>
      </c>
      <c r="C7" s="35" cm="1">
        <f t="array" ref="C7">IF(C6&gt;C2*2,C2*2,C6)</f>
        <v>2</v>
      </c>
      <c r="D7" s="35" cm="1">
        <f t="array" ref="D7">IF(D6&gt;D2*2,D2*2,D6)</f>
        <v>5</v>
      </c>
      <c r="E7" s="35" cm="1">
        <f t="array" ref="E7">IF(E6&gt;E2*2,E2*2,E6)</f>
        <v>6</v>
      </c>
      <c r="F7" s="35" cm="1">
        <f t="array" ref="F7">IF(F6&gt;F2*2,F2*2,F6)</f>
        <v>3</v>
      </c>
      <c r="G7" s="35" cm="1">
        <f t="array" ref="G7">IF(G6&gt;G2*2,G2*2,G6)</f>
        <v>5</v>
      </c>
      <c r="H7" s="35" cm="1">
        <f t="array" ref="H7">IF(H6&gt;H2*2,H2*2,H6)</f>
        <v>4</v>
      </c>
      <c r="I7" s="35" cm="1">
        <f t="array" ref="I7">IF(I6&gt;I2*2,I2*2,I6)</f>
        <v>7</v>
      </c>
      <c r="J7" s="35" cm="1">
        <f t="array" ref="J7">IF(J6&gt;J2*2,J2*2,J6)</f>
        <v>6</v>
      </c>
      <c r="K7" s="35" cm="1">
        <f t="array" ref="K7">SUM(B7:J7)</f>
        <v>43</v>
      </c>
      <c r="L7" s="35" cm="1">
        <f t="array" ref="L7">K7-K2</f>
        <v>7</v>
      </c>
      <c r="M7" s="35" cm="1">
        <f t="array" ref="M7">IF(M6&gt;M2*2,M2*2,M6)</f>
        <v>4</v>
      </c>
      <c r="N7" s="35" cm="1">
        <f t="array" ref="N7">IF(N6&gt;N2*2,N2*2,N6)</f>
        <v>5</v>
      </c>
      <c r="O7" s="35" cm="1">
        <f t="array" ref="O7">IF(O6&gt;O2*2,O2*2,O6)</f>
        <v>6</v>
      </c>
      <c r="P7" s="35" cm="1">
        <f t="array" ref="P7">IF(P6&gt;P2*2,P2*2,P6)</f>
        <v>5</v>
      </c>
      <c r="Q7" s="35" cm="1">
        <f t="array" ref="Q7">IF(Q6&gt;Q2*2,Q2*2,Q6)</f>
        <v>6</v>
      </c>
      <c r="R7" s="35" cm="1">
        <f t="array" ref="R7">IF(R6&gt;R2*2,R2*2,R6)</f>
        <v>6</v>
      </c>
      <c r="S7" s="35" cm="1">
        <f t="array" ref="S7">IF(S6&gt;S2*2,S2*2,S6)</f>
        <v>6</v>
      </c>
      <c r="T7" s="35" cm="1">
        <f t="array" ref="T7">IF(T6&gt;T2*2,T2*2,T6)</f>
        <v>6</v>
      </c>
      <c r="U7" s="35" cm="1">
        <f t="array" ref="U7">IF(U6&gt;U2*2,U2*2,U6)</f>
        <v>6</v>
      </c>
      <c r="V7" s="35" cm="1">
        <f t="array" ref="V7">SUM(M7:U7)</f>
        <v>50</v>
      </c>
      <c r="W7" s="71" cm="1">
        <f t="array" ref="W7">V7-V2</f>
        <v>14</v>
      </c>
    </row>
    <row r="8" ht="13.55" customHeight="1">
      <c r="A8" t="s" s="9">
        <v>11</v>
      </c>
      <c r="B8" s="32">
        <v>5</v>
      </c>
      <c r="C8" s="32">
        <v>4</v>
      </c>
      <c r="D8" s="32">
        <v>3</v>
      </c>
      <c r="E8" s="32">
        <v>5</v>
      </c>
      <c r="F8" s="32">
        <v>3</v>
      </c>
      <c r="G8" s="32">
        <v>6</v>
      </c>
      <c r="H8" s="32">
        <v>4</v>
      </c>
      <c r="I8" s="32">
        <v>7</v>
      </c>
      <c r="J8" s="32">
        <v>5</v>
      </c>
      <c r="K8" s="35" cm="1">
        <f t="array" ref="K8">SUM(B8:J8)</f>
        <v>42</v>
      </c>
      <c r="L8" s="30"/>
      <c r="M8" s="32">
        <v>5</v>
      </c>
      <c r="N8" s="32">
        <v>5</v>
      </c>
      <c r="O8" s="32">
        <v>4</v>
      </c>
      <c r="P8" s="32">
        <v>6</v>
      </c>
      <c r="Q8" s="32">
        <v>5</v>
      </c>
      <c r="R8" s="32">
        <v>5</v>
      </c>
      <c r="S8" s="32">
        <v>3</v>
      </c>
      <c r="T8" s="32">
        <v>5</v>
      </c>
      <c r="U8" s="32">
        <v>6</v>
      </c>
      <c r="V8" s="35" cm="1">
        <f t="array" ref="V8">SUM(M8:U8)</f>
        <v>44</v>
      </c>
      <c r="W8" s="70"/>
    </row>
    <row r="9" ht="13.55" customHeight="1">
      <c r="A9" t="s" s="36">
        <v>114</v>
      </c>
      <c r="B9" s="35" cm="1">
        <f t="array" ref="B9">IF(B8&gt;B2*2,B2*2,B8)</f>
        <v>5</v>
      </c>
      <c r="C9" s="35" cm="1">
        <f t="array" ref="C9">IF(C8&gt;C2*2,C2*2,C8)</f>
        <v>4</v>
      </c>
      <c r="D9" s="35" cm="1">
        <f t="array" ref="D9">IF(D8&gt;D2*2,D2*2,D8)</f>
        <v>3</v>
      </c>
      <c r="E9" s="35" cm="1">
        <f t="array" ref="E9">IF(E8&gt;E2*2,E2*2,E8)</f>
        <v>5</v>
      </c>
      <c r="F9" s="35" cm="1">
        <f t="array" ref="F9">IF(F8&gt;F2*2,F2*2,F8)</f>
        <v>3</v>
      </c>
      <c r="G9" s="35" cm="1">
        <f t="array" ref="G9">IF(G8&gt;G2*2,G2*2,G8)</f>
        <v>6</v>
      </c>
      <c r="H9" s="35" cm="1">
        <f t="array" ref="H9">IF(H8&gt;H2*2,H2*2,H8)</f>
        <v>4</v>
      </c>
      <c r="I9" s="35" cm="1">
        <f t="array" ref="I9">IF(I8&gt;I2*2,I2*2,I8)</f>
        <v>7</v>
      </c>
      <c r="J9" s="35" cm="1">
        <f t="array" ref="J9">IF(J8&gt;J2*2,J2*2,J8)</f>
        <v>5</v>
      </c>
      <c r="K9" s="35" cm="1">
        <f t="array" ref="K9">SUM(B9:J9)</f>
        <v>42</v>
      </c>
      <c r="L9" s="35" cm="1">
        <f t="array" ref="L9">K9-K2</f>
        <v>6</v>
      </c>
      <c r="M9" s="35" cm="1">
        <f t="array" ref="M9">IF(M8&gt;M2*2,M2*2,M8)</f>
        <v>5</v>
      </c>
      <c r="N9" s="35" cm="1">
        <f t="array" ref="N9">IF(N8&gt;N2*2,N2*2,N8)</f>
        <v>5</v>
      </c>
      <c r="O9" s="35" cm="1">
        <f t="array" ref="O9">IF(O8&gt;O2*2,O2*2,O8)</f>
        <v>4</v>
      </c>
      <c r="P9" s="35" cm="1">
        <f t="array" ref="P9">IF(P8&gt;P2*2,P2*2,P8)</f>
        <v>6</v>
      </c>
      <c r="Q9" s="35" cm="1">
        <f t="array" ref="Q9">IF(Q8&gt;Q2*2,Q2*2,Q8)</f>
        <v>5</v>
      </c>
      <c r="R9" s="35" cm="1">
        <f t="array" ref="R9">IF(R8&gt;R2*2,R2*2,R8)</f>
        <v>5</v>
      </c>
      <c r="S9" s="35" cm="1">
        <f t="array" ref="S9">IF(S8&gt;S2*2,S2*2,S8)</f>
        <v>3</v>
      </c>
      <c r="T9" s="35" cm="1">
        <f t="array" ref="T9">IF(T8&gt;T2*2,T2*2,T8)</f>
        <v>5</v>
      </c>
      <c r="U9" s="35" cm="1">
        <f t="array" ref="U9">IF(U8&gt;U2*2,U2*2,U8)</f>
        <v>6</v>
      </c>
      <c r="V9" s="35" cm="1">
        <f t="array" ref="V9">SUM(M9:U9)</f>
        <v>44</v>
      </c>
      <c r="W9" s="71" cm="1">
        <f t="array" ref="W9">V9-V2</f>
        <v>8</v>
      </c>
    </row>
    <row r="10" ht="13.55" customHeight="1">
      <c r="A10" t="s" s="9">
        <v>12</v>
      </c>
      <c r="B10" s="32">
        <v>8</v>
      </c>
      <c r="C10" s="32">
        <v>4</v>
      </c>
      <c r="D10" s="32">
        <v>5</v>
      </c>
      <c r="E10" s="32">
        <v>10</v>
      </c>
      <c r="F10" s="32">
        <v>7</v>
      </c>
      <c r="G10" s="32">
        <v>5</v>
      </c>
      <c r="H10" s="32">
        <v>9</v>
      </c>
      <c r="I10" s="32">
        <v>5</v>
      </c>
      <c r="J10" s="32">
        <v>9</v>
      </c>
      <c r="K10" s="35" cm="1">
        <f t="array" ref="K10">SUM(B10:J10)</f>
        <v>62</v>
      </c>
      <c r="L10" s="30"/>
      <c r="M10" s="32">
        <v>7</v>
      </c>
      <c r="N10" s="32">
        <v>6</v>
      </c>
      <c r="O10" s="32">
        <v>6</v>
      </c>
      <c r="P10" s="32">
        <v>6</v>
      </c>
      <c r="Q10" s="32">
        <v>7</v>
      </c>
      <c r="R10" s="32">
        <v>8</v>
      </c>
      <c r="S10" s="32">
        <v>4</v>
      </c>
      <c r="T10" s="32">
        <v>6</v>
      </c>
      <c r="U10" s="32">
        <v>8</v>
      </c>
      <c r="V10" s="35" cm="1">
        <f t="array" ref="V10">SUM(M10:U10)</f>
        <v>58</v>
      </c>
      <c r="W10" s="70"/>
    </row>
    <row r="11" ht="13.55" customHeight="1">
      <c r="A11" t="s" s="36">
        <v>114</v>
      </c>
      <c r="B11" s="35" cm="1">
        <f t="array" ref="B11">IF(B10&gt;B2*2,B2*2,B10)</f>
        <v>8</v>
      </c>
      <c r="C11" s="35" cm="1">
        <f t="array" ref="C11">IF(C10&gt;C2*2,C2*2,C10)</f>
        <v>4</v>
      </c>
      <c r="D11" s="35" cm="1">
        <f t="array" ref="D11">IF(D10&gt;D2*2,D2*2,D10)</f>
        <v>5</v>
      </c>
      <c r="E11" s="35" cm="1">
        <f t="array" ref="E11">IF(E10&gt;E2*2,E2*2,E10)</f>
        <v>10</v>
      </c>
      <c r="F11" s="35" cm="1">
        <f t="array" ref="F11">IF(F10&gt;F2*2,F2*2,F10)</f>
        <v>6</v>
      </c>
      <c r="G11" s="35" cm="1">
        <f t="array" ref="G11">IF(G10&gt;G2*2,G2*2,G10)</f>
        <v>5</v>
      </c>
      <c r="H11" s="35" cm="1">
        <f t="array" ref="H11">IF(H10&gt;H2*2,H2*2,H10)</f>
        <v>8</v>
      </c>
      <c r="I11" s="35" cm="1">
        <f t="array" ref="I11">IF(I10&gt;I2*2,I2*2,I10)</f>
        <v>5</v>
      </c>
      <c r="J11" s="35" cm="1">
        <f t="array" ref="J11">IF(J10&gt;J2*2,J2*2,J10)</f>
        <v>8</v>
      </c>
      <c r="K11" s="35" cm="1">
        <f t="array" ref="K11">SUM(B11:J11)</f>
        <v>59</v>
      </c>
      <c r="L11" s="35" cm="1">
        <f t="array" ref="L11">K11-K2</f>
        <v>23</v>
      </c>
      <c r="M11" s="35" cm="1">
        <f t="array" ref="M11">IF(M10&gt;M2*2,M2*2,M10)</f>
        <v>6</v>
      </c>
      <c r="N11" s="35" cm="1">
        <f t="array" ref="N11">IF(N10&gt;N2*2,N2*2,N10)</f>
        <v>6</v>
      </c>
      <c r="O11" s="35" cm="1">
        <f t="array" ref="O11">IF(O10&gt;O2*2,O2*2,O10)</f>
        <v>6</v>
      </c>
      <c r="P11" s="35" cm="1">
        <f t="array" ref="P11">IF(P10&gt;P2*2,P2*2,P10)</f>
        <v>6</v>
      </c>
      <c r="Q11" s="35" cm="1">
        <f t="array" ref="Q11">IF(Q10&gt;Q2*2,Q2*2,Q10)</f>
        <v>7</v>
      </c>
      <c r="R11" s="35" cm="1">
        <f t="array" ref="R11">IF(R10&gt;R2*2,R2*2,R10)</f>
        <v>8</v>
      </c>
      <c r="S11" s="35" cm="1">
        <f t="array" ref="S11">IF(S10&gt;S2*2,S2*2,S10)</f>
        <v>4</v>
      </c>
      <c r="T11" s="35" cm="1">
        <f t="array" ref="T11">IF(T10&gt;T2*2,T2*2,T10)</f>
        <v>6</v>
      </c>
      <c r="U11" s="35" cm="1">
        <f t="array" ref="U11">IF(U10&gt;U2*2,U2*2,U10)</f>
        <v>8</v>
      </c>
      <c r="V11" s="35" cm="1">
        <f t="array" ref="V11">SUM(M11:U11)</f>
        <v>57</v>
      </c>
      <c r="W11" s="71" cm="1">
        <f t="array" ref="W11">V11-V2</f>
        <v>21</v>
      </c>
    </row>
    <row r="12" ht="13.55" customHeight="1">
      <c r="A12" t="s" s="9">
        <v>13</v>
      </c>
      <c r="B12" s="32">
        <v>6</v>
      </c>
      <c r="C12" s="32">
        <v>6</v>
      </c>
      <c r="D12" s="32">
        <v>4</v>
      </c>
      <c r="E12" s="32">
        <v>6</v>
      </c>
      <c r="F12" s="32">
        <v>5</v>
      </c>
      <c r="G12" s="32">
        <v>7</v>
      </c>
      <c r="H12" s="32">
        <v>5</v>
      </c>
      <c r="I12" s="32">
        <v>7</v>
      </c>
      <c r="J12" s="32">
        <v>6</v>
      </c>
      <c r="K12" s="35" cm="1">
        <f t="array" ref="K12">SUM(B12:J12)</f>
        <v>52</v>
      </c>
      <c r="L12" s="30"/>
      <c r="M12" s="32">
        <v>4</v>
      </c>
      <c r="N12" s="32">
        <v>6</v>
      </c>
      <c r="O12" s="32">
        <v>6</v>
      </c>
      <c r="P12" s="32">
        <v>5</v>
      </c>
      <c r="Q12" s="32">
        <v>5</v>
      </c>
      <c r="R12" s="32">
        <v>5</v>
      </c>
      <c r="S12" s="32">
        <v>4</v>
      </c>
      <c r="T12" s="32">
        <v>5</v>
      </c>
      <c r="U12" s="32">
        <v>5</v>
      </c>
      <c r="V12" s="35" cm="1">
        <f t="array" ref="V12">SUM(M12:U12)</f>
        <v>45</v>
      </c>
      <c r="W12" s="70"/>
    </row>
    <row r="13" ht="13.55" customHeight="1">
      <c r="A13" t="s" s="36">
        <v>114</v>
      </c>
      <c r="B13" s="35" cm="1">
        <f t="array" ref="B13">IF(B12&gt;B2*2,B2*2,B12)</f>
        <v>6</v>
      </c>
      <c r="C13" s="35" cm="1">
        <f t="array" ref="C13">IF(C12&gt;C2*2,C2*2,C12)</f>
        <v>6</v>
      </c>
      <c r="D13" s="35" cm="1">
        <f t="array" ref="D13">IF(D12&gt;D2*2,D2*2,D12)</f>
        <v>4</v>
      </c>
      <c r="E13" s="35" cm="1">
        <f t="array" ref="E13">IF(E12&gt;E2*2,E2*2,E12)</f>
        <v>6</v>
      </c>
      <c r="F13" s="35" cm="1">
        <f t="array" ref="F13">IF(F12&gt;F2*2,F2*2,F12)</f>
        <v>5</v>
      </c>
      <c r="G13" s="35" cm="1">
        <f t="array" ref="G13">IF(G12&gt;G2*2,G2*2,G12)</f>
        <v>7</v>
      </c>
      <c r="H13" s="35" cm="1">
        <f t="array" ref="H13">IF(H12&gt;H2*2,H2*2,H12)</f>
        <v>5</v>
      </c>
      <c r="I13" s="35" cm="1">
        <f t="array" ref="I13">IF(I12&gt;I2*2,I2*2,I12)</f>
        <v>7</v>
      </c>
      <c r="J13" s="35" cm="1">
        <f t="array" ref="J13">IF(J12&gt;J2*2,J2*2,J12)</f>
        <v>6</v>
      </c>
      <c r="K13" s="35" cm="1">
        <f t="array" ref="K13">SUM(B13:J13)</f>
        <v>52</v>
      </c>
      <c r="L13" s="35" cm="1">
        <f t="array" ref="L13">K13-K2</f>
        <v>16</v>
      </c>
      <c r="M13" s="35" cm="1">
        <f t="array" ref="M13">IF(M12&gt;M2*2,M2*2,M12)</f>
        <v>4</v>
      </c>
      <c r="N13" s="35" cm="1">
        <f t="array" ref="N13">IF(N12&gt;N2*2,N2*2,N12)</f>
        <v>6</v>
      </c>
      <c r="O13" s="35" cm="1">
        <f t="array" ref="O13">IF(O12&gt;O2*2,O2*2,O12)</f>
        <v>6</v>
      </c>
      <c r="P13" s="35" cm="1">
        <f t="array" ref="P13">IF(P12&gt;P2*2,P2*2,P12)</f>
        <v>5</v>
      </c>
      <c r="Q13" s="35" cm="1">
        <f t="array" ref="Q13">IF(Q12&gt;Q2*2,Q2*2,Q12)</f>
        <v>5</v>
      </c>
      <c r="R13" s="35" cm="1">
        <f t="array" ref="R13">IF(R12&gt;R2*2,R2*2,R12)</f>
        <v>5</v>
      </c>
      <c r="S13" s="35" cm="1">
        <f t="array" ref="S13">IF(S12&gt;S2*2,S2*2,S12)</f>
        <v>4</v>
      </c>
      <c r="T13" s="35" cm="1">
        <f t="array" ref="T13">IF(T12&gt;T2*2,T2*2,T12)</f>
        <v>5</v>
      </c>
      <c r="U13" s="35" cm="1">
        <f t="array" ref="U13">IF(U12&gt;U2*2,U2*2,U12)</f>
        <v>5</v>
      </c>
      <c r="V13" s="35" cm="1">
        <f t="array" ref="V13">SUM(M13:U13)</f>
        <v>45</v>
      </c>
      <c r="W13" s="71" cm="1">
        <f t="array" ref="W13">V13-V2</f>
        <v>9</v>
      </c>
    </row>
    <row r="14" ht="13.55" customHeight="1">
      <c r="A14" t="s" s="9">
        <v>14</v>
      </c>
      <c r="B14" s="32">
        <v>5</v>
      </c>
      <c r="C14" s="32">
        <v>4</v>
      </c>
      <c r="D14" s="32">
        <v>4</v>
      </c>
      <c r="E14" s="32">
        <v>6</v>
      </c>
      <c r="F14" s="32">
        <v>3</v>
      </c>
      <c r="G14" s="32">
        <v>5</v>
      </c>
      <c r="H14" s="32">
        <v>6</v>
      </c>
      <c r="I14" s="32">
        <v>6</v>
      </c>
      <c r="J14" s="32">
        <v>6</v>
      </c>
      <c r="K14" s="35" cm="1">
        <f t="array" ref="K14">SUM(B14:J14)</f>
        <v>45</v>
      </c>
      <c r="L14" s="30"/>
      <c r="M14" s="32">
        <v>4</v>
      </c>
      <c r="N14" s="32">
        <v>6</v>
      </c>
      <c r="O14" s="32">
        <v>5</v>
      </c>
      <c r="P14" s="32">
        <v>6</v>
      </c>
      <c r="Q14" s="32">
        <v>5</v>
      </c>
      <c r="R14" s="32">
        <v>5</v>
      </c>
      <c r="S14" s="32">
        <v>6</v>
      </c>
      <c r="T14" s="32">
        <v>7</v>
      </c>
      <c r="U14" s="32">
        <v>7</v>
      </c>
      <c r="V14" s="35" cm="1">
        <f t="array" ref="V14">SUM(M14:U14)</f>
        <v>51</v>
      </c>
      <c r="W14" s="70"/>
    </row>
    <row r="15" ht="13.55" customHeight="1">
      <c r="A15" t="s" s="36">
        <v>114</v>
      </c>
      <c r="B15" s="35" cm="1">
        <f t="array" ref="B15">IF(B14&gt;B2*2,B2*2,B14)</f>
        <v>5</v>
      </c>
      <c r="C15" s="35" cm="1">
        <f t="array" ref="C15">IF(C14&gt;C2*2,C2*2,C14)</f>
        <v>4</v>
      </c>
      <c r="D15" s="35" cm="1">
        <f t="array" ref="D15">IF(D14&gt;D2*2,D2*2,D14)</f>
        <v>4</v>
      </c>
      <c r="E15" s="35" cm="1">
        <f t="array" ref="E15">IF(E14&gt;E2*2,E2*2,E14)</f>
        <v>6</v>
      </c>
      <c r="F15" s="35" cm="1">
        <f t="array" ref="F15">IF(F14&gt;F2*2,F2*2,F14)</f>
        <v>3</v>
      </c>
      <c r="G15" s="35" cm="1">
        <f t="array" ref="G15">IF(G14&gt;G2*2,G2*2,G14)</f>
        <v>5</v>
      </c>
      <c r="H15" s="35" cm="1">
        <f t="array" ref="H15">IF(H14&gt;H2*2,H2*2,H14)</f>
        <v>6</v>
      </c>
      <c r="I15" s="35" cm="1">
        <f t="array" ref="I15">IF(I14&gt;I2*2,I2*2,I14)</f>
        <v>6</v>
      </c>
      <c r="J15" s="35" cm="1">
        <f t="array" ref="J15">IF(J14&gt;J2*2,J2*2,J14)</f>
        <v>6</v>
      </c>
      <c r="K15" s="35" cm="1">
        <f t="array" ref="K15">SUM(B15:J15)</f>
        <v>45</v>
      </c>
      <c r="L15" s="35" cm="1">
        <f t="array" ref="L15">K15-K2</f>
        <v>9</v>
      </c>
      <c r="M15" s="35" cm="1">
        <f t="array" ref="M15">IF(M14&gt;M2*2,M2*2,M14)</f>
        <v>4</v>
      </c>
      <c r="N15" s="35" cm="1">
        <f t="array" ref="N15">IF(N14&gt;N2*2,N2*2,N14)</f>
        <v>6</v>
      </c>
      <c r="O15" s="35" cm="1">
        <f t="array" ref="O15">IF(O14&gt;O2*2,O2*2,O14)</f>
        <v>5</v>
      </c>
      <c r="P15" s="35" cm="1">
        <f t="array" ref="P15">IF(P14&gt;P2*2,P2*2,P14)</f>
        <v>6</v>
      </c>
      <c r="Q15" s="35" cm="1">
        <f t="array" ref="Q15">IF(Q14&gt;Q2*2,Q2*2,Q14)</f>
        <v>5</v>
      </c>
      <c r="R15" s="35" cm="1">
        <f t="array" ref="R15">IF(R14&gt;R2*2,R2*2,R14)</f>
        <v>5</v>
      </c>
      <c r="S15" s="35" cm="1">
        <f t="array" ref="S15">IF(S14&gt;S2*2,S2*2,S14)</f>
        <v>6</v>
      </c>
      <c r="T15" s="35" cm="1">
        <f t="array" ref="T15">IF(T14&gt;T2*2,T2*2,T14)</f>
        <v>7</v>
      </c>
      <c r="U15" s="35" cm="1">
        <f t="array" ref="U15">IF(U14&gt;U2*2,U2*2,U14)</f>
        <v>7</v>
      </c>
      <c r="V15" s="35" cm="1">
        <f t="array" ref="V15">SUM(M15:U15)</f>
        <v>51</v>
      </c>
      <c r="W15" s="71" cm="1">
        <f t="array" ref="W15">V15-V2</f>
        <v>15</v>
      </c>
    </row>
    <row r="16" ht="13.55" customHeight="1">
      <c r="A16" t="s" s="9">
        <v>15</v>
      </c>
      <c r="B16" s="32">
        <v>5</v>
      </c>
      <c r="C16" s="32">
        <v>4</v>
      </c>
      <c r="D16" s="32">
        <v>5</v>
      </c>
      <c r="E16" s="32">
        <v>5</v>
      </c>
      <c r="F16" s="32">
        <v>4</v>
      </c>
      <c r="G16" s="32">
        <v>6</v>
      </c>
      <c r="H16" s="32">
        <v>4</v>
      </c>
      <c r="I16" s="32">
        <v>8</v>
      </c>
      <c r="J16" s="32">
        <v>6</v>
      </c>
      <c r="K16" s="35" cm="1">
        <f t="array" ref="K16">SUM(B16:J16)</f>
        <v>47</v>
      </c>
      <c r="L16" s="30"/>
      <c r="M16" s="32">
        <v>5</v>
      </c>
      <c r="N16" s="32">
        <v>5</v>
      </c>
      <c r="O16" s="32">
        <v>5</v>
      </c>
      <c r="P16" s="32">
        <v>7</v>
      </c>
      <c r="Q16" s="32">
        <v>5</v>
      </c>
      <c r="R16" s="32">
        <v>6</v>
      </c>
      <c r="S16" s="32">
        <v>5</v>
      </c>
      <c r="T16" s="32">
        <v>6</v>
      </c>
      <c r="U16" s="32">
        <v>6</v>
      </c>
      <c r="V16" s="35" cm="1">
        <f t="array" ref="V16">SUM(M16:U16)</f>
        <v>50</v>
      </c>
      <c r="W16" s="70"/>
    </row>
    <row r="17" ht="13.55" customHeight="1">
      <c r="A17" t="s" s="36">
        <v>114</v>
      </c>
      <c r="B17" s="35" cm="1">
        <f t="array" ref="B17">IF(B16&gt;B2*2,B2*2,B16)</f>
        <v>5</v>
      </c>
      <c r="C17" s="35" cm="1">
        <f t="array" ref="C17">IF(C16&gt;C2*2,C2*2,C16)</f>
        <v>4</v>
      </c>
      <c r="D17" s="35" cm="1">
        <f t="array" ref="D17">IF(D16&gt;D2*2,D2*2,D16)</f>
        <v>5</v>
      </c>
      <c r="E17" s="35" cm="1">
        <f t="array" ref="E17">IF(E16&gt;E2*2,E2*2,E16)</f>
        <v>5</v>
      </c>
      <c r="F17" s="35" cm="1">
        <f t="array" ref="F17">IF(F16&gt;F2*2,F2*2,F16)</f>
        <v>4</v>
      </c>
      <c r="G17" s="35" cm="1">
        <f t="array" ref="G17">IF(G16&gt;G2*2,G2*2,G16)</f>
        <v>6</v>
      </c>
      <c r="H17" s="35" cm="1">
        <f t="array" ref="H17">IF(H16&gt;H2*2,H2*2,H16)</f>
        <v>4</v>
      </c>
      <c r="I17" s="35" cm="1">
        <f t="array" ref="I17">IF(I16&gt;I2*2,I2*2,I16)</f>
        <v>8</v>
      </c>
      <c r="J17" s="35" cm="1">
        <f t="array" ref="J17">IF(J16&gt;J2*2,J2*2,J16)</f>
        <v>6</v>
      </c>
      <c r="K17" s="35" cm="1">
        <f t="array" ref="K17">SUM(B17:J17)</f>
        <v>47</v>
      </c>
      <c r="L17" s="35" cm="1">
        <f t="array" ref="L17">K17-K2</f>
        <v>11</v>
      </c>
      <c r="M17" s="35" cm="1">
        <f t="array" ref="M17">IF(M16&gt;M2*2,M2*2,M16)</f>
        <v>5</v>
      </c>
      <c r="N17" s="35" cm="1">
        <f t="array" ref="N17">IF(N16&gt;N2*2,N2*2,N16)</f>
        <v>5</v>
      </c>
      <c r="O17" s="35" cm="1">
        <f t="array" ref="O17">IF(O16&gt;O2*2,O2*2,O16)</f>
        <v>5</v>
      </c>
      <c r="P17" s="35" cm="1">
        <f t="array" ref="P17">IF(P16&gt;P2*2,P2*2,P16)</f>
        <v>7</v>
      </c>
      <c r="Q17" s="35" cm="1">
        <f t="array" ref="Q17">IF(Q16&gt;Q2*2,Q2*2,Q16)</f>
        <v>5</v>
      </c>
      <c r="R17" s="35" cm="1">
        <f t="array" ref="R17">IF(R16&gt;R2*2,R2*2,R16)</f>
        <v>6</v>
      </c>
      <c r="S17" s="35" cm="1">
        <f t="array" ref="S17">IF(S16&gt;S2*2,S2*2,S16)</f>
        <v>5</v>
      </c>
      <c r="T17" s="35" cm="1">
        <f t="array" ref="T17">IF(T16&gt;T2*2,T2*2,T16)</f>
        <v>6</v>
      </c>
      <c r="U17" s="35" cm="1">
        <f t="array" ref="U17">IF(U16&gt;U2*2,U2*2,U16)</f>
        <v>6</v>
      </c>
      <c r="V17" s="35" cm="1">
        <f t="array" ref="V17">SUM(M17:U17)</f>
        <v>50</v>
      </c>
      <c r="W17" s="71" cm="1">
        <f t="array" ref="W17">V17-V2</f>
        <v>14</v>
      </c>
    </row>
    <row r="18" ht="13.55" customHeight="1">
      <c r="A18" t="s" s="9">
        <v>16</v>
      </c>
      <c r="B18" s="37"/>
      <c r="C18" s="37"/>
      <c r="D18" s="37"/>
      <c r="E18" s="37"/>
      <c r="F18" s="37"/>
      <c r="G18" s="37"/>
      <c r="H18" s="37"/>
      <c r="I18" s="37"/>
      <c r="J18" s="37"/>
      <c r="K18" s="35" cm="1">
        <f t="array" ref="K18">SUM(B18:J18)</f>
        <v>0</v>
      </c>
      <c r="L18" s="30"/>
      <c r="M18" s="32">
        <v>4</v>
      </c>
      <c r="N18" s="32">
        <v>7</v>
      </c>
      <c r="O18" s="32">
        <v>6</v>
      </c>
      <c r="P18" s="32">
        <v>7</v>
      </c>
      <c r="Q18" s="32">
        <v>7</v>
      </c>
      <c r="R18" s="32">
        <v>8</v>
      </c>
      <c r="S18" s="32">
        <v>4</v>
      </c>
      <c r="T18" s="32">
        <v>6</v>
      </c>
      <c r="U18" s="32">
        <v>20</v>
      </c>
      <c r="V18" s="35" cm="1">
        <f t="array" ref="V18">SUM(M18:U18)</f>
        <v>69</v>
      </c>
      <c r="W18" s="70"/>
    </row>
    <row r="19" ht="13.55" customHeight="1">
      <c r="A19" t="s" s="36">
        <v>114</v>
      </c>
      <c r="B19" s="35" cm="1">
        <f t="array" ref="B19">IF(B18&gt;B2*2,B2*2,B18)</f>
        <v>0</v>
      </c>
      <c r="C19" s="35" cm="1">
        <f t="array" ref="C19">IF(C18&gt;C2*2,C2*2,C18)</f>
        <v>0</v>
      </c>
      <c r="D19" s="35" cm="1">
        <f t="array" ref="D19">IF(D18&gt;D2*2,D2*2,D18)</f>
        <v>0</v>
      </c>
      <c r="E19" s="35" cm="1">
        <f t="array" ref="E19">IF(E18&gt;E2*2,E2*2,E18)</f>
        <v>0</v>
      </c>
      <c r="F19" s="35" cm="1">
        <f t="array" ref="F19">IF(F18&gt;F2*2,F2*2,F18)</f>
        <v>0</v>
      </c>
      <c r="G19" s="35" cm="1">
        <f t="array" ref="G19">IF(G18&gt;G2*2,G2*2,G18)</f>
        <v>0</v>
      </c>
      <c r="H19" s="35" cm="1">
        <f t="array" ref="H19">IF(H18&gt;H2*2,H2*2,H18)</f>
        <v>0</v>
      </c>
      <c r="I19" s="35" cm="1">
        <f t="array" ref="I19">IF(I18&gt;I2*2,I2*2,I18)</f>
        <v>0</v>
      </c>
      <c r="J19" s="35" cm="1">
        <f t="array" ref="J19">IF(J18&gt;J2*2,J2*2,J18)</f>
        <v>0</v>
      </c>
      <c r="K19" s="35" cm="1">
        <f t="array" ref="K19">SUM(B19:J19)</f>
        <v>0</v>
      </c>
      <c r="L19" s="35">
        <v>59</v>
      </c>
      <c r="M19" s="35" cm="1">
        <f t="array" ref="M19">IF(M18&gt;M2*2,M2*2,M18)</f>
        <v>4</v>
      </c>
      <c r="N19" s="35" cm="1">
        <f t="array" ref="N19">IF(N18&gt;N2*2,N2*2,N18)</f>
        <v>7</v>
      </c>
      <c r="O19" s="35" cm="1">
        <f t="array" ref="O19">IF(O18&gt;O2*2,O2*2,O18)</f>
        <v>6</v>
      </c>
      <c r="P19" s="35" cm="1">
        <f t="array" ref="P19">IF(P18&gt;P2*2,P2*2,P18)</f>
        <v>7</v>
      </c>
      <c r="Q19" s="35" cm="1">
        <f t="array" ref="Q19">IF(Q18&gt;Q2*2,Q2*2,Q18)</f>
        <v>7</v>
      </c>
      <c r="R19" s="35" cm="1">
        <f t="array" ref="R19">IF(R18&gt;R2*2,R2*2,R18)</f>
        <v>8</v>
      </c>
      <c r="S19" s="35" cm="1">
        <f t="array" ref="S19">IF(S18&gt;S2*2,S2*2,S18)</f>
        <v>4</v>
      </c>
      <c r="T19" s="35" cm="1">
        <f t="array" ref="T19">IF(T18&gt;T2*2,T2*2,T18)</f>
        <v>6</v>
      </c>
      <c r="U19" s="35" cm="1">
        <f t="array" ref="U19">IF(U18&gt;U2*2,U2*2,U18)</f>
        <v>10</v>
      </c>
      <c r="V19" s="35" cm="1">
        <f t="array" ref="V19">SUM(M19:U19)</f>
        <v>59</v>
      </c>
      <c r="W19" s="71" cm="1">
        <f t="array" ref="W19">V19-V2</f>
        <v>23</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T22"/>
  <sheetViews>
    <sheetView workbookViewId="0" showGridLines="0" defaultGridColor="1"/>
  </sheetViews>
  <sheetFormatPr defaultColWidth="8.83333" defaultRowHeight="14.5" customHeight="1" outlineLevelRow="0" outlineLevelCol="0"/>
  <cols>
    <col min="1" max="3" width="8.85156" style="72" customWidth="1"/>
    <col min="4" max="4" width="9.67188" style="72" customWidth="1"/>
    <col min="5" max="11" width="8.85156" style="72" customWidth="1"/>
    <col min="12" max="12" width="9.5" style="72" customWidth="1"/>
    <col min="13" max="17" width="8.85156" style="72" customWidth="1"/>
    <col min="18" max="18" width="10.1719" style="72" customWidth="1"/>
    <col min="19" max="20" width="8.85156" style="72" customWidth="1"/>
    <col min="21" max="16384" width="8.85156" style="72" customWidth="1"/>
  </cols>
  <sheetData>
    <row r="1" ht="13.55" customHeight="1">
      <c r="A1" t="s" s="9">
        <v>6</v>
      </c>
      <c r="B1" t="s" s="9">
        <v>25</v>
      </c>
      <c r="C1" t="s" s="9">
        <v>27</v>
      </c>
      <c r="D1" t="s" s="9">
        <v>28</v>
      </c>
      <c r="E1" t="s" s="9">
        <v>29</v>
      </c>
      <c r="F1" t="s" s="9">
        <v>30</v>
      </c>
      <c r="G1" t="s" s="9">
        <v>31</v>
      </c>
      <c r="H1" t="s" s="9">
        <v>32</v>
      </c>
      <c r="I1" t="s" s="9">
        <v>33</v>
      </c>
      <c r="J1" t="s" s="73">
        <v>116</v>
      </c>
      <c r="K1" t="s" s="73">
        <v>117</v>
      </c>
      <c r="L1" t="s" s="74">
        <v>118</v>
      </c>
      <c r="M1" t="s" s="75">
        <v>119</v>
      </c>
      <c r="N1" t="s" s="76">
        <v>120</v>
      </c>
      <c r="O1" s="8"/>
      <c r="P1" s="8"/>
      <c r="Q1" s="8"/>
      <c r="R1" s="8"/>
      <c r="S1" s="8"/>
      <c r="T1" s="8"/>
    </row>
    <row r="2" ht="13.55" customHeight="1">
      <c r="A2" t="s" s="9">
        <v>10</v>
      </c>
      <c r="B2" s="32" cm="1">
        <f t="array" ref="B2">'Wk1and2'!K4</f>
        <v>64</v>
      </c>
      <c r="C2" s="32" cm="1">
        <f t="array" ref="C2">'Wk1and2'!V4</f>
        <v>61</v>
      </c>
      <c r="D2" s="32">
        <v>64</v>
      </c>
      <c r="E2" s="32">
        <v>0</v>
      </c>
      <c r="F2" s="32">
        <v>0</v>
      </c>
      <c r="G2" s="32">
        <v>60</v>
      </c>
      <c r="H2" s="32">
        <v>53</v>
      </c>
      <c r="I2" s="32">
        <v>56</v>
      </c>
      <c r="J2" s="77" cm="1">
        <f t="array" ref="J2">SUM(B2:I2)</f>
        <v>358</v>
      </c>
      <c r="K2" s="78">
        <v>6</v>
      </c>
      <c r="L2" s="79" cm="1">
        <f t="array" ref="L2">J2/K2</f>
        <v>59.6666666666667</v>
      </c>
      <c r="M2" s="80" cm="1">
        <f t="array" ref="M2">L2-E12</f>
        <v>24.0416666666667</v>
      </c>
      <c r="N2" s="32">
        <v>25.5</v>
      </c>
      <c r="O2" s="10"/>
      <c r="P2" s="8"/>
      <c r="Q2" s="8"/>
      <c r="R2" s="8"/>
      <c r="S2" s="8"/>
      <c r="T2" s="8"/>
    </row>
    <row r="3" ht="13.55" customHeight="1">
      <c r="A3" t="s" s="9">
        <v>17</v>
      </c>
      <c r="B3" s="32" cm="1">
        <f t="array" ref="B3">'Wk1and2'!K6</f>
        <v>43</v>
      </c>
      <c r="C3" s="32" cm="1">
        <f t="array" ref="C3">'Wk1and2'!V6</f>
        <v>50</v>
      </c>
      <c r="D3" s="32">
        <v>43</v>
      </c>
      <c r="E3" s="32">
        <v>52</v>
      </c>
      <c r="F3" s="32">
        <v>49</v>
      </c>
      <c r="G3" s="32">
        <v>0</v>
      </c>
      <c r="H3" s="32">
        <v>58</v>
      </c>
      <c r="I3" s="32">
        <v>0</v>
      </c>
      <c r="J3" s="77" cm="1">
        <f t="array" ref="J3">SUM(B3:I3)</f>
        <v>295</v>
      </c>
      <c r="K3" s="78">
        <v>6</v>
      </c>
      <c r="L3" s="79" cm="1">
        <f t="array" ref="L3">J3/K3</f>
        <v>49.1666666666667</v>
      </c>
      <c r="M3" s="80" cm="1">
        <f t="array" ref="M3">L3-E12</f>
        <v>13.5416666666667</v>
      </c>
      <c r="N3" s="32">
        <v>10.5</v>
      </c>
      <c r="O3" s="10"/>
      <c r="P3" s="8"/>
      <c r="Q3" s="8"/>
      <c r="R3" s="8"/>
      <c r="S3" s="8"/>
      <c r="T3" s="8"/>
    </row>
    <row r="4" ht="13.55" customHeight="1">
      <c r="A4" t="s" s="9">
        <v>11</v>
      </c>
      <c r="B4" s="32" cm="1">
        <f t="array" ref="B4">'Wk1and2'!K8</f>
        <v>42</v>
      </c>
      <c r="C4" s="32" cm="1">
        <f t="array" ref="C4">'Wk1and2'!V8</f>
        <v>44</v>
      </c>
      <c r="D4" s="32">
        <v>43</v>
      </c>
      <c r="E4" s="32">
        <v>44</v>
      </c>
      <c r="F4" s="32">
        <v>39</v>
      </c>
      <c r="G4" s="32">
        <v>42</v>
      </c>
      <c r="H4" s="32">
        <v>41</v>
      </c>
      <c r="I4" s="32">
        <v>41</v>
      </c>
      <c r="J4" s="77" cm="1">
        <f t="array" ref="J4">SUM(B4:I4)</f>
        <v>336</v>
      </c>
      <c r="K4" s="78">
        <v>8</v>
      </c>
      <c r="L4" s="79" cm="1">
        <f t="array" ref="L4">J4/K4</f>
        <v>42</v>
      </c>
      <c r="M4" s="80" cm="1">
        <f t="array" ref="M4">L4-E12</f>
        <v>6.375</v>
      </c>
      <c r="N4" s="32">
        <v>7</v>
      </c>
      <c r="O4" s="10"/>
      <c r="P4" s="8"/>
      <c r="Q4" s="8"/>
      <c r="R4" s="8"/>
      <c r="S4" s="8"/>
      <c r="T4" s="8"/>
    </row>
    <row r="5" ht="13.55" customHeight="1">
      <c r="A5" t="s" s="9">
        <v>12</v>
      </c>
      <c r="B5" s="32" cm="1">
        <f t="array" ref="B5">'Wk1and2'!K10</f>
        <v>62</v>
      </c>
      <c r="C5" s="32" cm="1">
        <f t="array" ref="C5">'Wk1and2'!V10</f>
        <v>58</v>
      </c>
      <c r="D5" s="32">
        <v>62</v>
      </c>
      <c r="E5" s="32">
        <v>61</v>
      </c>
      <c r="F5" s="32">
        <v>60</v>
      </c>
      <c r="G5" s="32">
        <v>60</v>
      </c>
      <c r="H5" s="32">
        <v>56</v>
      </c>
      <c r="I5" s="32">
        <v>56</v>
      </c>
      <c r="J5" s="81" cm="1">
        <f t="array" ref="J5">SUM(B5:I5)</f>
        <v>475</v>
      </c>
      <c r="K5" s="82">
        <v>8</v>
      </c>
      <c r="L5" s="79" cm="1">
        <f t="array" ref="L5">J5/K5</f>
        <v>59.375</v>
      </c>
      <c r="M5" s="80" cm="1">
        <f t="array" ref="M5">L5-E12</f>
        <v>23.75</v>
      </c>
      <c r="N5" s="32">
        <v>22</v>
      </c>
      <c r="O5" s="10"/>
      <c r="P5" s="8"/>
      <c r="Q5" s="8"/>
      <c r="R5" s="8"/>
      <c r="S5" s="8"/>
      <c r="T5" s="8"/>
    </row>
    <row r="6" ht="13.55" customHeight="1">
      <c r="A6" t="s" s="9">
        <v>13</v>
      </c>
      <c r="B6" s="32" cm="1">
        <f t="array" ref="B6">'Wk1and2'!K12</f>
        <v>52</v>
      </c>
      <c r="C6" s="32" cm="1">
        <f t="array" ref="C6">'Wk1and2'!V12</f>
        <v>45</v>
      </c>
      <c r="D6" s="32">
        <v>44</v>
      </c>
      <c r="E6" s="32">
        <v>42</v>
      </c>
      <c r="F6" s="32">
        <v>38</v>
      </c>
      <c r="G6" s="32">
        <v>41</v>
      </c>
      <c r="H6" s="32">
        <v>0</v>
      </c>
      <c r="I6" s="32">
        <v>41</v>
      </c>
      <c r="J6" s="81" cm="1">
        <f t="array" ref="J6">SUM(B6:I6)</f>
        <v>303</v>
      </c>
      <c r="K6" s="82">
        <v>7</v>
      </c>
      <c r="L6" s="79" cm="1">
        <f t="array" ref="L6">J6/K6</f>
        <v>43.2857142857143</v>
      </c>
      <c r="M6" s="80" cm="1">
        <f t="array" ref="M6">L6-E12</f>
        <v>7.6607142857143</v>
      </c>
      <c r="N6" s="32">
        <v>12.5</v>
      </c>
      <c r="O6" s="10"/>
      <c r="P6" s="8"/>
      <c r="Q6" s="8"/>
      <c r="R6" s="8"/>
      <c r="S6" s="8"/>
      <c r="T6" s="8"/>
    </row>
    <row r="7" ht="13.55" customHeight="1">
      <c r="A7" t="s" s="9">
        <v>14</v>
      </c>
      <c r="B7" s="32" cm="1">
        <f t="array" ref="B7">'Wk1and2'!K14</f>
        <v>45</v>
      </c>
      <c r="C7" s="32" cm="1">
        <f t="array" ref="C7">'Wk1and2'!V14</f>
        <v>51</v>
      </c>
      <c r="D7" s="32">
        <v>42</v>
      </c>
      <c r="E7" s="32">
        <v>45</v>
      </c>
      <c r="F7" s="32">
        <v>42</v>
      </c>
      <c r="G7" s="32">
        <v>46</v>
      </c>
      <c r="H7" s="32">
        <v>0</v>
      </c>
      <c r="I7" s="32">
        <v>44</v>
      </c>
      <c r="J7" s="81" cm="1">
        <f t="array" ref="J7">SUM(B7:I7)</f>
        <v>315</v>
      </c>
      <c r="K7" s="82">
        <v>7</v>
      </c>
      <c r="L7" s="79" cm="1">
        <f t="array" ref="L7">J7/K7</f>
        <v>45</v>
      </c>
      <c r="M7" s="80" cm="1">
        <f t="array" ref="M7">L7-E12</f>
        <v>9.375</v>
      </c>
      <c r="N7" s="32">
        <v>12</v>
      </c>
      <c r="O7" s="10"/>
      <c r="P7" s="8"/>
      <c r="Q7" s="8"/>
      <c r="R7" s="8"/>
      <c r="S7" s="8"/>
      <c r="T7" s="8"/>
    </row>
    <row r="8" ht="13.55" customHeight="1">
      <c r="A8" t="s" s="9">
        <v>15</v>
      </c>
      <c r="B8" s="32" cm="1">
        <f t="array" ref="B8">'Wk1and2'!K16</f>
        <v>47</v>
      </c>
      <c r="C8" s="32" cm="1">
        <f t="array" ref="C8">'Wk1and2'!V16</f>
        <v>50</v>
      </c>
      <c r="D8" s="32">
        <v>49</v>
      </c>
      <c r="E8" s="32">
        <v>46</v>
      </c>
      <c r="F8" s="32">
        <v>39</v>
      </c>
      <c r="G8" s="32">
        <v>50</v>
      </c>
      <c r="H8" s="32">
        <v>43</v>
      </c>
      <c r="I8" s="32">
        <v>45</v>
      </c>
      <c r="J8" s="81" cm="1">
        <f t="array" ref="J8">SUM(B8:I8)</f>
        <v>369</v>
      </c>
      <c r="K8" s="82">
        <v>8</v>
      </c>
      <c r="L8" s="79" cm="1">
        <f t="array" ref="L8">J8/K8</f>
        <v>46.125</v>
      </c>
      <c r="M8" s="80" cm="1">
        <f t="array" ref="M8">L8-E12</f>
        <v>10.5</v>
      </c>
      <c r="N8" s="32">
        <v>12.5</v>
      </c>
      <c r="O8" s="10"/>
      <c r="P8" s="8"/>
      <c r="Q8" s="8"/>
      <c r="R8" s="8"/>
      <c r="S8" s="8"/>
      <c r="T8" s="8"/>
    </row>
    <row r="9" ht="13.55" customHeight="1">
      <c r="A9" t="s" s="9">
        <v>16</v>
      </c>
      <c r="B9" s="32">
        <v>59</v>
      </c>
      <c r="C9" s="32" cm="1">
        <f t="array" ref="C9">'Wk1and2'!V18</f>
        <v>69</v>
      </c>
      <c r="D9" s="32">
        <v>0</v>
      </c>
      <c r="E9" s="32">
        <v>62</v>
      </c>
      <c r="F9" s="32">
        <v>52</v>
      </c>
      <c r="G9" s="32">
        <v>61</v>
      </c>
      <c r="H9" s="32">
        <v>69</v>
      </c>
      <c r="I9" s="32">
        <v>54</v>
      </c>
      <c r="J9" s="81" cm="1">
        <f t="array" ref="J9">SUM(B9:I9)</f>
        <v>426</v>
      </c>
      <c r="K9" s="82">
        <v>7</v>
      </c>
      <c r="L9" s="79" cm="1">
        <f t="array" ref="L9">J9/K9</f>
        <v>60.8571428571429</v>
      </c>
      <c r="M9" s="80" cm="1">
        <f t="array" ref="M9">L9-E12</f>
        <v>25.2321428571429</v>
      </c>
      <c r="N9" s="32">
        <v>23</v>
      </c>
      <c r="O9" s="10"/>
      <c r="P9" s="8"/>
      <c r="Q9" s="8"/>
      <c r="R9" s="8"/>
      <c r="S9" s="8"/>
      <c r="T9" s="8"/>
    </row>
    <row r="10" ht="13.55" customHeight="1">
      <c r="A10" s="14"/>
      <c r="B10" s="14"/>
      <c r="C10" s="14"/>
      <c r="D10" s="14"/>
      <c r="E10" s="14"/>
      <c r="F10" s="14"/>
      <c r="G10" s="14"/>
      <c r="H10" s="14"/>
      <c r="I10" s="14"/>
      <c r="J10" s="8"/>
      <c r="K10" s="8"/>
      <c r="L10" s="8"/>
      <c r="M10" s="8"/>
      <c r="N10" s="14"/>
      <c r="O10" s="8"/>
      <c r="P10" s="8"/>
      <c r="Q10" s="8"/>
      <c r="R10" s="8"/>
      <c r="S10" s="8"/>
      <c r="T10" s="8"/>
    </row>
    <row r="11" ht="13.55" customHeight="1">
      <c r="A11" s="8"/>
      <c r="B11" s="8"/>
      <c r="C11" s="8"/>
      <c r="D11" s="8"/>
      <c r="E11" s="8"/>
      <c r="F11" s="8"/>
      <c r="G11" s="8"/>
      <c r="H11" s="8"/>
      <c r="I11" s="8"/>
      <c r="J11" s="8"/>
      <c r="K11" s="8"/>
      <c r="L11" s="8"/>
      <c r="M11" s="8"/>
      <c r="N11" s="8"/>
      <c r="O11" s="8"/>
      <c r="P11" s="8"/>
      <c r="Q11" s="8"/>
      <c r="R11" s="8"/>
      <c r="S11" s="8"/>
      <c r="T11" s="8"/>
    </row>
    <row r="12" ht="13.55" customHeight="1">
      <c r="A12" s="8"/>
      <c r="B12" s="8"/>
      <c r="C12" s="8"/>
      <c r="D12" t="s" s="83">
        <v>121</v>
      </c>
      <c r="E12" s="79">
        <v>35.625</v>
      </c>
      <c r="F12" s="8"/>
      <c r="G12" s="8"/>
      <c r="H12" s="8"/>
      <c r="I12" s="8"/>
      <c r="J12" s="8"/>
      <c r="K12" s="8"/>
      <c r="L12" s="8"/>
      <c r="M12" s="8"/>
      <c r="N12" s="8"/>
      <c r="O12" s="8"/>
      <c r="P12" s="8"/>
      <c r="Q12" s="8"/>
      <c r="R12" s="8"/>
      <c r="S12" s="8"/>
      <c r="T12" s="8"/>
    </row>
    <row r="13" ht="13.55" customHeight="1">
      <c r="A13" s="7"/>
      <c r="B13" s="7"/>
      <c r="C13" s="7"/>
      <c r="D13" s="7"/>
      <c r="E13" s="7"/>
      <c r="F13" s="7"/>
      <c r="G13" s="7"/>
      <c r="H13" s="7"/>
      <c r="I13" s="7"/>
      <c r="J13" s="7"/>
      <c r="K13" s="7"/>
      <c r="L13" s="7"/>
      <c r="M13" s="7"/>
      <c r="N13" s="7"/>
      <c r="O13" s="7"/>
      <c r="P13" s="8"/>
      <c r="Q13" s="8"/>
      <c r="R13" s="8"/>
      <c r="S13" s="8"/>
      <c r="T13" s="8"/>
    </row>
    <row r="14" ht="13.55" customHeight="1">
      <c r="A14" t="s" s="9">
        <v>6</v>
      </c>
      <c r="B14" t="s" s="9">
        <v>25</v>
      </c>
      <c r="C14" t="s" s="9">
        <v>27</v>
      </c>
      <c r="D14" t="s" s="9">
        <v>28</v>
      </c>
      <c r="E14" t="s" s="9">
        <v>29</v>
      </c>
      <c r="F14" t="s" s="9">
        <v>30</v>
      </c>
      <c r="G14" t="s" s="9">
        <v>31</v>
      </c>
      <c r="H14" t="s" s="9">
        <v>32</v>
      </c>
      <c r="I14" t="s" s="9">
        <v>33</v>
      </c>
      <c r="J14" t="s" s="9">
        <v>34</v>
      </c>
      <c r="K14" t="s" s="9">
        <v>35</v>
      </c>
      <c r="L14" t="s" s="9">
        <v>36</v>
      </c>
      <c r="M14" t="s" s="9">
        <v>37</v>
      </c>
      <c r="N14" t="s" s="9">
        <v>38</v>
      </c>
      <c r="O14" t="s" s="9">
        <v>39</v>
      </c>
      <c r="P14" t="s" s="73">
        <v>116</v>
      </c>
      <c r="Q14" t="s" s="73">
        <v>117</v>
      </c>
      <c r="R14" t="s" s="73">
        <v>122</v>
      </c>
      <c r="S14" t="s" s="73">
        <v>119</v>
      </c>
      <c r="T14" t="s" s="84">
        <v>120</v>
      </c>
    </row>
    <row r="15" ht="13.55" customHeight="1">
      <c r="A15" t="s" s="9">
        <v>10</v>
      </c>
      <c r="B15" s="32">
        <v>64</v>
      </c>
      <c r="C15" s="32">
        <v>61</v>
      </c>
      <c r="D15" s="32">
        <v>64</v>
      </c>
      <c r="E15" s="32">
        <v>0</v>
      </c>
      <c r="F15" s="32">
        <v>0</v>
      </c>
      <c r="G15" s="32">
        <v>60</v>
      </c>
      <c r="H15" s="32">
        <v>53</v>
      </c>
      <c r="I15" s="32">
        <v>56</v>
      </c>
      <c r="J15" s="32">
        <v>64</v>
      </c>
      <c r="K15" s="32">
        <v>63</v>
      </c>
      <c r="L15" s="32">
        <v>55</v>
      </c>
      <c r="M15" s="32">
        <v>60</v>
      </c>
      <c r="N15" s="32">
        <v>58</v>
      </c>
      <c r="O15" s="32">
        <v>61</v>
      </c>
      <c r="P15" s="77" cm="1">
        <f t="array" ref="P15">SUM(B15:O15)</f>
        <v>719</v>
      </c>
      <c r="Q15" s="78">
        <v>12</v>
      </c>
      <c r="R15" s="79" cm="1">
        <f t="array" ref="R15">P15/Q15</f>
        <v>59.9166666666667</v>
      </c>
      <c r="S15" s="80">
        <v>24.2916666666667</v>
      </c>
      <c r="T15" s="32">
        <v>24</v>
      </c>
    </row>
    <row r="16" ht="13.55" customHeight="1">
      <c r="A16" t="s" s="9">
        <v>17</v>
      </c>
      <c r="B16" s="32">
        <v>43</v>
      </c>
      <c r="C16" s="32">
        <v>50</v>
      </c>
      <c r="D16" s="32">
        <v>43</v>
      </c>
      <c r="E16" s="32">
        <v>52</v>
      </c>
      <c r="F16" s="32">
        <v>49</v>
      </c>
      <c r="G16" s="32">
        <v>0</v>
      </c>
      <c r="H16" s="32">
        <v>58</v>
      </c>
      <c r="I16" s="32">
        <v>0</v>
      </c>
      <c r="J16" s="32">
        <v>49</v>
      </c>
      <c r="K16" s="32">
        <v>41</v>
      </c>
      <c r="L16" s="32">
        <v>51</v>
      </c>
      <c r="M16" s="32">
        <v>47</v>
      </c>
      <c r="N16" s="32">
        <v>0</v>
      </c>
      <c r="O16" s="32">
        <v>0</v>
      </c>
      <c r="P16" s="77" cm="1">
        <f t="array" ref="P16">SUM(B16:O16)</f>
        <v>483</v>
      </c>
      <c r="Q16" s="78">
        <v>10</v>
      </c>
      <c r="R16" s="79" cm="1">
        <f t="array" ref="R16">P16/Q16</f>
        <v>48.3</v>
      </c>
      <c r="S16" s="80">
        <v>12.675</v>
      </c>
      <c r="T16" s="32">
        <v>14</v>
      </c>
    </row>
    <row r="17" ht="13.55" customHeight="1">
      <c r="A17" t="s" s="9">
        <v>11</v>
      </c>
      <c r="B17" s="32">
        <v>42</v>
      </c>
      <c r="C17" s="32">
        <v>44</v>
      </c>
      <c r="D17" s="32">
        <v>43</v>
      </c>
      <c r="E17" s="32">
        <v>44</v>
      </c>
      <c r="F17" s="32">
        <v>39</v>
      </c>
      <c r="G17" s="32">
        <v>42</v>
      </c>
      <c r="H17" s="32">
        <v>41</v>
      </c>
      <c r="I17" s="32">
        <v>41</v>
      </c>
      <c r="J17" s="32">
        <v>46</v>
      </c>
      <c r="K17" s="32">
        <v>0</v>
      </c>
      <c r="L17" s="32">
        <v>0</v>
      </c>
      <c r="M17" s="32">
        <v>47</v>
      </c>
      <c r="N17" s="32">
        <v>45</v>
      </c>
      <c r="O17" s="32">
        <v>0</v>
      </c>
      <c r="P17" s="77" cm="1">
        <f t="array" ref="P17">SUM(B17:O17)</f>
        <v>474</v>
      </c>
      <c r="Q17" s="78">
        <v>11</v>
      </c>
      <c r="R17" s="79" cm="1">
        <f t="array" ref="R17">P17/Q17</f>
        <v>43.0909090909091</v>
      </c>
      <c r="S17" s="80">
        <v>7.46590909090909</v>
      </c>
      <c r="T17" s="32">
        <v>6</v>
      </c>
    </row>
    <row r="18" ht="13.55" customHeight="1">
      <c r="A18" t="s" s="9">
        <v>12</v>
      </c>
      <c r="B18" s="32">
        <v>62</v>
      </c>
      <c r="C18" s="32">
        <v>58</v>
      </c>
      <c r="D18" s="32">
        <v>62</v>
      </c>
      <c r="E18" s="32">
        <v>61</v>
      </c>
      <c r="F18" s="32">
        <v>60</v>
      </c>
      <c r="G18" s="32">
        <v>60</v>
      </c>
      <c r="H18" s="32">
        <v>56</v>
      </c>
      <c r="I18" s="32">
        <v>56</v>
      </c>
      <c r="J18" s="32">
        <v>51</v>
      </c>
      <c r="K18" s="32">
        <v>53</v>
      </c>
      <c r="L18" s="32">
        <v>0</v>
      </c>
      <c r="M18" s="32">
        <v>50</v>
      </c>
      <c r="N18" s="32">
        <v>0</v>
      </c>
      <c r="O18" s="32">
        <v>0</v>
      </c>
      <c r="P18" s="81" cm="1">
        <f t="array" ref="P18">SUM(B18:O18)</f>
        <v>629</v>
      </c>
      <c r="Q18" s="82">
        <v>11</v>
      </c>
      <c r="R18" s="79" cm="1">
        <f t="array" ref="R18">P18/Q18</f>
        <v>57.1818181818182</v>
      </c>
      <c r="S18" s="80">
        <v>21.5568181818182</v>
      </c>
      <c r="T18" s="32">
        <v>24</v>
      </c>
    </row>
    <row r="19" ht="13.55" customHeight="1">
      <c r="A19" t="s" s="9">
        <v>13</v>
      </c>
      <c r="B19" s="32">
        <v>52</v>
      </c>
      <c r="C19" s="32">
        <v>45</v>
      </c>
      <c r="D19" s="32">
        <v>44</v>
      </c>
      <c r="E19" s="32">
        <v>42</v>
      </c>
      <c r="F19" s="32">
        <v>38</v>
      </c>
      <c r="G19" s="32">
        <v>41</v>
      </c>
      <c r="H19" s="32">
        <v>0</v>
      </c>
      <c r="I19" s="32">
        <v>41</v>
      </c>
      <c r="J19" s="32">
        <v>45</v>
      </c>
      <c r="K19" s="32">
        <v>40</v>
      </c>
      <c r="L19" s="32">
        <v>38</v>
      </c>
      <c r="M19" s="32">
        <v>41</v>
      </c>
      <c r="N19" s="32">
        <v>45</v>
      </c>
      <c r="O19" s="32">
        <v>47</v>
      </c>
      <c r="P19" s="81" cm="1">
        <f t="array" ref="P19">SUM(B19:O19)</f>
        <v>559</v>
      </c>
      <c r="Q19" s="82">
        <v>13</v>
      </c>
      <c r="R19" s="79" cm="1">
        <f t="array" ref="R19">P19/Q19</f>
        <v>43</v>
      </c>
      <c r="S19" s="80">
        <v>7.375</v>
      </c>
      <c r="T19" s="32">
        <v>8</v>
      </c>
    </row>
    <row r="20" ht="13.55" customHeight="1">
      <c r="A20" t="s" s="9">
        <v>14</v>
      </c>
      <c r="B20" s="32">
        <v>45</v>
      </c>
      <c r="C20" s="32">
        <v>51</v>
      </c>
      <c r="D20" s="32">
        <v>42</v>
      </c>
      <c r="E20" s="32">
        <v>45</v>
      </c>
      <c r="F20" s="32">
        <v>42</v>
      </c>
      <c r="G20" s="32">
        <v>46</v>
      </c>
      <c r="H20" s="32">
        <v>0</v>
      </c>
      <c r="I20" s="32">
        <v>44</v>
      </c>
      <c r="J20" s="32">
        <v>38</v>
      </c>
      <c r="K20" s="32">
        <v>42</v>
      </c>
      <c r="L20" s="32">
        <v>41</v>
      </c>
      <c r="M20" s="32">
        <v>46</v>
      </c>
      <c r="N20" s="32">
        <v>40</v>
      </c>
      <c r="O20" s="32">
        <v>42</v>
      </c>
      <c r="P20" s="81" cm="1">
        <f t="array" ref="P20">SUM(B20:O20)</f>
        <v>564</v>
      </c>
      <c r="Q20" s="82">
        <v>13</v>
      </c>
      <c r="R20" s="79" cm="1">
        <f t="array" ref="R20">P20/Q20</f>
        <v>43.3846153846154</v>
      </c>
      <c r="S20" s="80">
        <v>7.75961538461539</v>
      </c>
      <c r="T20" s="32">
        <v>9</v>
      </c>
    </row>
    <row r="21" ht="13.55" customHeight="1">
      <c r="A21" t="s" s="9">
        <v>15</v>
      </c>
      <c r="B21" s="32">
        <v>47</v>
      </c>
      <c r="C21" s="32">
        <v>50</v>
      </c>
      <c r="D21" s="32">
        <v>49</v>
      </c>
      <c r="E21" s="32">
        <v>46</v>
      </c>
      <c r="F21" s="32">
        <v>39</v>
      </c>
      <c r="G21" s="32">
        <v>50</v>
      </c>
      <c r="H21" s="32">
        <v>43</v>
      </c>
      <c r="I21" s="32">
        <v>45</v>
      </c>
      <c r="J21" s="32">
        <v>47</v>
      </c>
      <c r="K21" s="32">
        <v>44</v>
      </c>
      <c r="L21" s="32">
        <v>42</v>
      </c>
      <c r="M21" s="32">
        <v>47</v>
      </c>
      <c r="N21" s="32">
        <v>40</v>
      </c>
      <c r="O21" s="32">
        <v>53</v>
      </c>
      <c r="P21" s="81" cm="1">
        <f t="array" ref="P21">SUM(B21:O21)</f>
        <v>642</v>
      </c>
      <c r="Q21" s="82">
        <v>14</v>
      </c>
      <c r="R21" s="79" cm="1">
        <f t="array" ref="R21">P21/Q21</f>
        <v>45.8571428571429</v>
      </c>
      <c r="S21" s="80">
        <v>10.2321428571429</v>
      </c>
      <c r="T21" s="32">
        <v>11</v>
      </c>
    </row>
    <row r="22" ht="13.55" customHeight="1">
      <c r="A22" t="s" s="9">
        <v>16</v>
      </c>
      <c r="B22" s="32">
        <v>59</v>
      </c>
      <c r="C22" s="32">
        <v>69</v>
      </c>
      <c r="D22" s="32">
        <v>0</v>
      </c>
      <c r="E22" s="32">
        <v>62</v>
      </c>
      <c r="F22" s="32">
        <v>52</v>
      </c>
      <c r="G22" s="32">
        <v>61</v>
      </c>
      <c r="H22" s="32">
        <v>69</v>
      </c>
      <c r="I22" s="32">
        <v>54</v>
      </c>
      <c r="J22" s="32">
        <v>0</v>
      </c>
      <c r="K22" s="32">
        <v>73</v>
      </c>
      <c r="L22" s="32">
        <v>54</v>
      </c>
      <c r="M22" s="32">
        <v>60</v>
      </c>
      <c r="N22" s="32">
        <v>55</v>
      </c>
      <c r="O22" s="32">
        <v>59</v>
      </c>
      <c r="P22" s="81" cm="1">
        <f t="array" ref="P22">SUM(B22:O22)</f>
        <v>727</v>
      </c>
      <c r="Q22" s="82">
        <v>12</v>
      </c>
      <c r="R22" s="79" cm="1">
        <f t="array" ref="R22">P22/Q22</f>
        <v>60.5833333333333</v>
      </c>
      <c r="S22" s="80">
        <v>24.9583333333333</v>
      </c>
      <c r="T22" s="32">
        <v>25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