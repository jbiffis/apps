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wfbakeries-my.sharepoint.com/personal/shea_riley_wonderbrands_com/Documents/Desktop/"/>
    </mc:Choice>
  </mc:AlternateContent>
  <xr:revisionPtr revIDLastSave="1552" documentId="13_ncr:1_{04457021-DED9-458F-980C-76101624D241}" xr6:coauthVersionLast="47" xr6:coauthVersionMax="47" xr10:uidLastSave="{988288EC-3587-4DF1-9834-58E86A46D8FE}"/>
  <bookViews>
    <workbookView xWindow="-110" yWindow="-110" windowWidth="19420" windowHeight="12420" firstSheet="1" activeTab="2" xr2:uid="{00000000-000D-0000-FFFF-FFFF00000000}"/>
  </bookViews>
  <sheets>
    <sheet name="Sheet2" sheetId="5" state="hidden" r:id="rId1"/>
    <sheet name="Leaderboard 2026" sheetId="19" r:id="rId2"/>
    <sheet name="Tournament 3 (2026)" sheetId="18" r:id="rId3"/>
    <sheet name="Tournament 2 (2026)" sheetId="17" r:id="rId4"/>
    <sheet name="Tournament 1 (2026)" sheetId="14" r:id="rId5"/>
    <sheet name="Handicap Summary 2026" sheetId="12" r:id="rId6"/>
    <sheet name="Total Prize Money Overall" sheetId="21" r:id="rId7"/>
    <sheet name="Total Prize Money 2026" sheetId="15" r:id="rId8"/>
    <sheet name="Cash Games" sheetId="13" r:id="rId9"/>
    <sheet name="Wk1and2 2026" sheetId="11" r:id="rId10"/>
    <sheet name="New Adj Cap 2026" sheetId="16" r:id="rId11"/>
    <sheet name="Total Prize Money 2025" sheetId="20" r:id="rId12"/>
    <sheet name="Leaderboard 2025" sheetId="9" r:id="rId13"/>
    <sheet name="Tournament 1" sheetId="3" r:id="rId14"/>
    <sheet name="Tournament 1 w adj" sheetId="8" state="hidden" r:id="rId15"/>
    <sheet name="Tournament 2" sheetId="7" r:id="rId16"/>
    <sheet name="Tournament 3" sheetId="10" r:id="rId17"/>
    <sheet name="Handicap Summary" sheetId="2" r:id="rId18"/>
    <sheet name="Wk1and2" sheetId="1" r:id="rId19"/>
    <sheet name="New Adj Cap" sheetId="6" r:id="rId20"/>
  </sheets>
  <definedNames>
    <definedName name="_xlnm._FilterDatabase" localSheetId="5" hidden="1">'Handicap Summary 2026'!$A$2:$E$2</definedName>
    <definedName name="_xlnm._FilterDatabase" localSheetId="13" hidden="1">'Tournament 1'!$A$2:$B$2</definedName>
    <definedName name="_xlnm._FilterDatabase" localSheetId="4" hidden="1">'Tournament 1 (2026)'!$A$2:$B$2</definedName>
    <definedName name="_xlnm._FilterDatabase" localSheetId="14" hidden="1">'Tournament 1 w adj'!$A$2:$B$2</definedName>
    <definedName name="_xlnm._FilterDatabase" localSheetId="15" hidden="1">'Tournament 2'!$A$2:$B$2</definedName>
    <definedName name="_xlnm._FilterDatabase" localSheetId="3" hidden="1">'Tournament 2 (2026)'!$A$2:$B$2</definedName>
    <definedName name="_xlnm._FilterDatabase" localSheetId="16" hidden="1">'Tournament 3'!$A$2:$B$2</definedName>
    <definedName name="_xlnm._FilterDatabase" localSheetId="2" hidden="1">'Tournament 3 (2026)'!$A$2:$B$2</definedName>
  </definedNames>
  <calcPr calcId="191029"/>
  <pivotCaches>
    <pivotCache cacheId="280" r:id="rId21"/>
    <pivotCache cacheId="283" r:id="rId22"/>
    <pivotCache cacheId="286" r:id="rId23"/>
    <pivotCache cacheId="289" r:id="rId24"/>
    <pivotCache cacheId="292" r:id="rId25"/>
    <pivotCache cacheId="295" r:id="rId26"/>
    <pivotCache cacheId="298" r:id="rId27"/>
    <pivotCache cacheId="301" r:id="rId28"/>
    <pivotCache cacheId="304" r:id="rId2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3" i="19" l="1"/>
  <c r="H42" i="19"/>
  <c r="H41" i="19"/>
  <c r="H40" i="19"/>
  <c r="H39" i="19"/>
  <c r="H38" i="19"/>
  <c r="H37" i="19"/>
  <c r="H36" i="19"/>
  <c r="R12" i="13" l="1"/>
  <c r="Q12" i="13"/>
  <c r="R11" i="13"/>
  <c r="S11" i="13"/>
  <c r="T11" i="13"/>
  <c r="U11" i="13"/>
  <c r="C11" i="21"/>
  <c r="C10" i="21"/>
  <c r="E10" i="21" s="1"/>
  <c r="C9" i="21"/>
  <c r="C8" i="21"/>
  <c r="C7" i="21"/>
  <c r="C6" i="21"/>
  <c r="E6" i="21" s="1"/>
  <c r="C5" i="21"/>
  <c r="C4" i="21"/>
  <c r="C3" i="21"/>
  <c r="B11" i="21"/>
  <c r="E11" i="21" s="1"/>
  <c r="B10" i="21"/>
  <c r="B9" i="21"/>
  <c r="B8" i="21"/>
  <c r="B7" i="21"/>
  <c r="E7" i="21" s="1"/>
  <c r="B6" i="21"/>
  <c r="B5" i="21"/>
  <c r="B4" i="21"/>
  <c r="E3" i="21"/>
  <c r="D3" i="20"/>
  <c r="D11" i="20" s="1"/>
  <c r="B3" i="21"/>
  <c r="P3" i="21"/>
  <c r="P12" i="21" s="1"/>
  <c r="P4" i="21"/>
  <c r="P5" i="21"/>
  <c r="P6" i="21"/>
  <c r="P7" i="21"/>
  <c r="P8" i="21"/>
  <c r="P9" i="21"/>
  <c r="P10" i="21"/>
  <c r="P11" i="21"/>
  <c r="E4" i="21"/>
  <c r="E5" i="21"/>
  <c r="E8" i="21"/>
  <c r="E9" i="21"/>
  <c r="K3" i="21"/>
  <c r="K4" i="21"/>
  <c r="K5" i="21"/>
  <c r="K6" i="21"/>
  <c r="K7" i="21"/>
  <c r="K8" i="21"/>
  <c r="K9" i="21"/>
  <c r="K10" i="21"/>
  <c r="K11" i="21"/>
  <c r="D10" i="20"/>
  <c r="D9" i="20"/>
  <c r="D8" i="20"/>
  <c r="D7" i="20"/>
  <c r="D6" i="20"/>
  <c r="D5" i="20"/>
  <c r="D4" i="20"/>
  <c r="N43" i="19"/>
  <c r="N42" i="19"/>
  <c r="N41" i="19"/>
  <c r="N40" i="19"/>
  <c r="N39" i="19"/>
  <c r="N38" i="19"/>
  <c r="N37" i="19"/>
  <c r="N36" i="19"/>
  <c r="N30" i="9"/>
  <c r="K50" i="18"/>
  <c r="W50" i="18"/>
  <c r="K52" i="18"/>
  <c r="M52" i="18"/>
  <c r="J14" i="18" s="1"/>
  <c r="W52" i="18"/>
  <c r="Y52" i="18"/>
  <c r="K53" i="18"/>
  <c r="M53" i="18"/>
  <c r="J15" i="18" s="1"/>
  <c r="W53" i="18"/>
  <c r="Y53" i="18"/>
  <c r="K54" i="18"/>
  <c r="M54" i="18"/>
  <c r="J16" i="18" s="1"/>
  <c r="W54" i="18"/>
  <c r="Y54" i="18"/>
  <c r="K55" i="18"/>
  <c r="M55" i="18"/>
  <c r="W55" i="18"/>
  <c r="Y55" i="18"/>
  <c r="K56" i="18"/>
  <c r="M56" i="18"/>
  <c r="J18" i="18" s="1"/>
  <c r="W56" i="18"/>
  <c r="Y56" i="18"/>
  <c r="K57" i="18"/>
  <c r="M57" i="18"/>
  <c r="J19" i="18" s="1"/>
  <c r="W57" i="18"/>
  <c r="Y57" i="18"/>
  <c r="K58" i="18"/>
  <c r="M58" i="18"/>
  <c r="J20" i="18" s="1"/>
  <c r="W58" i="18"/>
  <c r="Y58" i="18"/>
  <c r="K59" i="18"/>
  <c r="M59" i="18"/>
  <c r="W59" i="18"/>
  <c r="Y59" i="18"/>
  <c r="K37" i="18"/>
  <c r="W37" i="18"/>
  <c r="K39" i="18"/>
  <c r="M39" i="18" s="1"/>
  <c r="F14" i="18" s="1"/>
  <c r="W39" i="18"/>
  <c r="Y39" i="18" s="1"/>
  <c r="H14" i="18" s="1"/>
  <c r="K40" i="18"/>
  <c r="M40" i="18" s="1"/>
  <c r="F15" i="18" s="1"/>
  <c r="W40" i="18"/>
  <c r="Y40" i="18" s="1"/>
  <c r="H15" i="18" s="1"/>
  <c r="K41" i="18"/>
  <c r="M41" i="18" s="1"/>
  <c r="F16" i="18" s="1"/>
  <c r="W41" i="18"/>
  <c r="Y41" i="18" s="1"/>
  <c r="H16" i="18" s="1"/>
  <c r="K42" i="18"/>
  <c r="M42" i="18"/>
  <c r="F17" i="18" s="1"/>
  <c r="W42" i="18"/>
  <c r="Y42" i="18" s="1"/>
  <c r="H17" i="18" s="1"/>
  <c r="K43" i="18"/>
  <c r="M43" i="18" s="1"/>
  <c r="F18" i="18" s="1"/>
  <c r="W43" i="18"/>
  <c r="Y43" i="18" s="1"/>
  <c r="H18" i="18" s="1"/>
  <c r="K44" i="18"/>
  <c r="M44" i="18" s="1"/>
  <c r="F19" i="18" s="1"/>
  <c r="W44" i="18"/>
  <c r="Y44" i="18" s="1"/>
  <c r="H19" i="18" s="1"/>
  <c r="K45" i="18"/>
  <c r="M45" i="18" s="1"/>
  <c r="F20" i="18" s="1"/>
  <c r="W45" i="18"/>
  <c r="Y45" i="18" s="1"/>
  <c r="H20" i="18" s="1"/>
  <c r="K46" i="18"/>
  <c r="M46" i="18" s="1"/>
  <c r="F21" i="18" s="1"/>
  <c r="W46" i="18"/>
  <c r="Y46" i="18" s="1"/>
  <c r="H21" i="18" s="1"/>
  <c r="K24" i="18"/>
  <c r="W24" i="18"/>
  <c r="K26" i="18"/>
  <c r="M26" i="18" s="1"/>
  <c r="B14" i="18" s="1"/>
  <c r="W26" i="18"/>
  <c r="Y26" i="18" s="1"/>
  <c r="D14" i="18" s="1"/>
  <c r="K27" i="18"/>
  <c r="M27" i="18" s="1"/>
  <c r="B15" i="18" s="1"/>
  <c r="W27" i="18"/>
  <c r="Y27" i="18" s="1"/>
  <c r="D15" i="18" s="1"/>
  <c r="K28" i="18"/>
  <c r="M28" i="18" s="1"/>
  <c r="B16" i="18" s="1"/>
  <c r="W28" i="18"/>
  <c r="Y28" i="18" s="1"/>
  <c r="D16" i="18" s="1"/>
  <c r="K29" i="18"/>
  <c r="M29" i="18" s="1"/>
  <c r="B17" i="18" s="1"/>
  <c r="W29" i="18"/>
  <c r="Y29" i="18" s="1"/>
  <c r="D17" i="18" s="1"/>
  <c r="K30" i="18"/>
  <c r="M30" i="18" s="1"/>
  <c r="B18" i="18" s="1"/>
  <c r="W30" i="18"/>
  <c r="Y30" i="18" s="1"/>
  <c r="D18" i="18" s="1"/>
  <c r="K31" i="18"/>
  <c r="M31" i="18" s="1"/>
  <c r="B19" i="18" s="1"/>
  <c r="W31" i="18"/>
  <c r="Y31" i="18" s="1"/>
  <c r="D19" i="18" s="1"/>
  <c r="K32" i="18"/>
  <c r="M32" i="18" s="1"/>
  <c r="B20" i="18" s="1"/>
  <c r="W32" i="18"/>
  <c r="Y32" i="18" s="1"/>
  <c r="D20" i="18" s="1"/>
  <c r="K33" i="18"/>
  <c r="M33" i="18" s="1"/>
  <c r="B21" i="18" s="1"/>
  <c r="W33" i="18"/>
  <c r="Y33" i="18" s="1"/>
  <c r="D21" i="18" s="1"/>
  <c r="L14" i="18"/>
  <c r="N14" i="18"/>
  <c r="L15" i="18"/>
  <c r="N15" i="18"/>
  <c r="L16" i="18"/>
  <c r="N16" i="18"/>
  <c r="J17" i="18"/>
  <c r="L17" i="18"/>
  <c r="N17" i="18"/>
  <c r="L18" i="18"/>
  <c r="N18" i="18"/>
  <c r="L19" i="18"/>
  <c r="N19" i="18"/>
  <c r="L20" i="18"/>
  <c r="N20" i="18"/>
  <c r="J21" i="18"/>
  <c r="L21" i="18"/>
  <c r="N21" i="18"/>
  <c r="R18" i="6"/>
  <c r="W58" i="17"/>
  <c r="Y58" i="17" s="1"/>
  <c r="L20" i="17" s="1"/>
  <c r="W53" i="17"/>
  <c r="Y53" i="17" s="1"/>
  <c r="L15" i="17" s="1"/>
  <c r="N12" i="13"/>
  <c r="M12" i="13"/>
  <c r="L12" i="13"/>
  <c r="M39" i="17"/>
  <c r="M40" i="17"/>
  <c r="K40" i="17"/>
  <c r="F15" i="17" s="1"/>
  <c r="N21" i="17"/>
  <c r="N17" i="17"/>
  <c r="K11" i="13"/>
  <c r="L11" i="13"/>
  <c r="M11" i="13"/>
  <c r="N11" i="13"/>
  <c r="O11" i="13"/>
  <c r="P11" i="13"/>
  <c r="Q11" i="13"/>
  <c r="J12" i="13"/>
  <c r="J11" i="13"/>
  <c r="W24" i="17"/>
  <c r="K24" i="17"/>
  <c r="W52" i="17"/>
  <c r="Y52" i="17" s="1"/>
  <c r="L14" i="17" s="1"/>
  <c r="W54" i="17"/>
  <c r="W55" i="17"/>
  <c r="Y55" i="17" s="1"/>
  <c r="L17" i="17" s="1"/>
  <c r="W56" i="17"/>
  <c r="Y56" i="17" s="1"/>
  <c r="L18" i="17" s="1"/>
  <c r="W57" i="17"/>
  <c r="Y57" i="17" s="1"/>
  <c r="L19" i="17" s="1"/>
  <c r="W59" i="17"/>
  <c r="Y59" i="17" s="1"/>
  <c r="L21" i="17" s="1"/>
  <c r="K59" i="17"/>
  <c r="M59" i="17" s="1"/>
  <c r="J21" i="17" s="1"/>
  <c r="K58" i="17"/>
  <c r="M58" i="17" s="1"/>
  <c r="J20" i="17" s="1"/>
  <c r="K57" i="17"/>
  <c r="M57" i="17" s="1"/>
  <c r="J19" i="17" s="1"/>
  <c r="K56" i="17"/>
  <c r="M56" i="17" s="1"/>
  <c r="J18" i="17" s="1"/>
  <c r="K55" i="17"/>
  <c r="M55" i="17" s="1"/>
  <c r="J17" i="17" s="1"/>
  <c r="Y54" i="17"/>
  <c r="L16" i="17" s="1"/>
  <c r="K54" i="17"/>
  <c r="M54" i="17" s="1"/>
  <c r="J16" i="17" s="1"/>
  <c r="K53" i="17"/>
  <c r="M53" i="17" s="1"/>
  <c r="J15" i="17" s="1"/>
  <c r="K52" i="17"/>
  <c r="M52" i="17" s="1"/>
  <c r="J14" i="17" s="1"/>
  <c r="W50" i="17"/>
  <c r="K50" i="17"/>
  <c r="W46" i="17"/>
  <c r="Y46" i="17" s="1"/>
  <c r="H21" i="17" s="1"/>
  <c r="K46" i="17"/>
  <c r="M46" i="17" s="1"/>
  <c r="F21" i="17" s="1"/>
  <c r="W45" i="17"/>
  <c r="Y45" i="17" s="1"/>
  <c r="H20" i="17" s="1"/>
  <c r="K45" i="17"/>
  <c r="M45" i="17" s="1"/>
  <c r="F20" i="17" s="1"/>
  <c r="W44" i="17"/>
  <c r="Y44" i="17" s="1"/>
  <c r="H19" i="17" s="1"/>
  <c r="K44" i="17"/>
  <c r="M44" i="17" s="1"/>
  <c r="F19" i="17" s="1"/>
  <c r="W43" i="17"/>
  <c r="Y43" i="17" s="1"/>
  <c r="H18" i="17" s="1"/>
  <c r="K43" i="17"/>
  <c r="M43" i="17" s="1"/>
  <c r="F18" i="17" s="1"/>
  <c r="W42" i="17"/>
  <c r="Y42" i="17" s="1"/>
  <c r="H17" i="17" s="1"/>
  <c r="K42" i="17"/>
  <c r="M42" i="17" s="1"/>
  <c r="F17" i="17" s="1"/>
  <c r="W41" i="17"/>
  <c r="Y41" i="17" s="1"/>
  <c r="H16" i="17" s="1"/>
  <c r="K41" i="17"/>
  <c r="M41" i="17" s="1"/>
  <c r="F16" i="17" s="1"/>
  <c r="W40" i="17"/>
  <c r="Y40" i="17" s="1"/>
  <c r="H15" i="17" s="1"/>
  <c r="W39" i="17"/>
  <c r="Y39" i="17" s="1"/>
  <c r="H14" i="17" s="1"/>
  <c r="K39" i="17"/>
  <c r="F14" i="17" s="1"/>
  <c r="W37" i="17"/>
  <c r="K37" i="17"/>
  <c r="W33" i="17"/>
  <c r="Y33" i="17" s="1"/>
  <c r="D21" i="17" s="1"/>
  <c r="K33" i="17"/>
  <c r="M33" i="17" s="1"/>
  <c r="B21" i="17" s="1"/>
  <c r="W32" i="17"/>
  <c r="Y32" i="17" s="1"/>
  <c r="D20" i="17" s="1"/>
  <c r="K32" i="17"/>
  <c r="M32" i="17" s="1"/>
  <c r="B20" i="17" s="1"/>
  <c r="W31" i="17"/>
  <c r="Y31" i="17" s="1"/>
  <c r="D19" i="17" s="1"/>
  <c r="K31" i="17"/>
  <c r="M31" i="17" s="1"/>
  <c r="B19" i="17" s="1"/>
  <c r="W30" i="17"/>
  <c r="Y30" i="17" s="1"/>
  <c r="D18" i="17" s="1"/>
  <c r="K30" i="17"/>
  <c r="M30" i="17" s="1"/>
  <c r="B18" i="17" s="1"/>
  <c r="W29" i="17"/>
  <c r="Y29" i="17" s="1"/>
  <c r="D17" i="17" s="1"/>
  <c r="K29" i="17"/>
  <c r="M29" i="17" s="1"/>
  <c r="B17" i="17" s="1"/>
  <c r="W28" i="17"/>
  <c r="Y28" i="17" s="1"/>
  <c r="D16" i="17" s="1"/>
  <c r="K28" i="17"/>
  <c r="M28" i="17" s="1"/>
  <c r="B16" i="17" s="1"/>
  <c r="W27" i="17"/>
  <c r="Y27" i="17" s="1"/>
  <c r="D15" i="17" s="1"/>
  <c r="K27" i="17"/>
  <c r="M27" i="17" s="1"/>
  <c r="B15" i="17" s="1"/>
  <c r="W26" i="17"/>
  <c r="Y26" i="17" s="1"/>
  <c r="D14" i="17" s="1"/>
  <c r="K26" i="17"/>
  <c r="M26" i="17" s="1"/>
  <c r="B14" i="17" s="1"/>
  <c r="N20" i="17"/>
  <c r="N19" i="17"/>
  <c r="N18" i="17"/>
  <c r="N16" i="17"/>
  <c r="N15" i="17"/>
  <c r="N14" i="17"/>
  <c r="B21" i="14"/>
  <c r="C9" i="16"/>
  <c r="B9" i="16"/>
  <c r="J9" i="16" s="1"/>
  <c r="L9" i="16" s="1"/>
  <c r="M9" i="16" s="1"/>
  <c r="C8" i="16"/>
  <c r="B8" i="16"/>
  <c r="C7" i="16"/>
  <c r="B7" i="16"/>
  <c r="C6" i="16"/>
  <c r="B6" i="16"/>
  <c r="C5" i="16"/>
  <c r="B5" i="16"/>
  <c r="J5" i="16" s="1"/>
  <c r="L5" i="16" s="1"/>
  <c r="M5" i="16" s="1"/>
  <c r="C4" i="16"/>
  <c r="B4" i="16"/>
  <c r="C3" i="16"/>
  <c r="B3" i="16"/>
  <c r="C2" i="16"/>
  <c r="B2" i="16"/>
  <c r="J2" i="16" s="1"/>
  <c r="L2" i="16" s="1"/>
  <c r="M2" i="16" s="1"/>
  <c r="P22" i="16"/>
  <c r="R22" i="16" s="1"/>
  <c r="P21" i="16"/>
  <c r="R21" i="16" s="1"/>
  <c r="P20" i="16"/>
  <c r="R20" i="16" s="1"/>
  <c r="P19" i="16"/>
  <c r="R19" i="16" s="1"/>
  <c r="P18" i="16"/>
  <c r="R18" i="16" s="1"/>
  <c r="P17" i="16"/>
  <c r="R17" i="16" s="1"/>
  <c r="P16" i="16"/>
  <c r="R16" i="16" s="1"/>
  <c r="P15" i="16"/>
  <c r="R15" i="16" s="1"/>
  <c r="J7" i="16"/>
  <c r="L7" i="16" s="1"/>
  <c r="M7" i="16" s="1"/>
  <c r="J3" i="16"/>
  <c r="K53" i="14"/>
  <c r="M53" i="14" s="1"/>
  <c r="J15" i="14" s="1"/>
  <c r="K54" i="14"/>
  <c r="M54" i="14" s="1"/>
  <c r="J16" i="14" s="1"/>
  <c r="K55" i="14"/>
  <c r="M55" i="14" s="1"/>
  <c r="J17" i="14" s="1"/>
  <c r="K56" i="14"/>
  <c r="M56" i="14" s="1"/>
  <c r="J18" i="14" s="1"/>
  <c r="K57" i="14"/>
  <c r="M57" i="14" s="1"/>
  <c r="J19" i="14" s="1"/>
  <c r="K58" i="14"/>
  <c r="M58" i="14" s="1"/>
  <c r="J20" i="14" s="1"/>
  <c r="K59" i="14"/>
  <c r="M59" i="14" s="1"/>
  <c r="J21" i="14" s="1"/>
  <c r="K52" i="14"/>
  <c r="M52" i="14" s="1"/>
  <c r="J14" i="14" s="1"/>
  <c r="E4" i="15"/>
  <c r="E5" i="15"/>
  <c r="E6" i="15"/>
  <c r="E7" i="15"/>
  <c r="E8" i="15"/>
  <c r="E9" i="15"/>
  <c r="E10" i="15"/>
  <c r="E11" i="15"/>
  <c r="E3" i="15"/>
  <c r="N21" i="14"/>
  <c r="N14" i="14"/>
  <c r="D12" i="13"/>
  <c r="C11" i="13"/>
  <c r="D11" i="13"/>
  <c r="E11" i="13"/>
  <c r="F11" i="13"/>
  <c r="G11" i="13"/>
  <c r="H11" i="13"/>
  <c r="I11" i="13"/>
  <c r="K26" i="14"/>
  <c r="M26" i="14" s="1"/>
  <c r="B14" i="14" s="1"/>
  <c r="K27" i="14"/>
  <c r="M27" i="14" s="1"/>
  <c r="B15" i="14" s="1"/>
  <c r="K28" i="14"/>
  <c r="M28" i="14" s="1"/>
  <c r="B16" i="14" s="1"/>
  <c r="K29" i="14"/>
  <c r="K30" i="14"/>
  <c r="M30" i="14" s="1"/>
  <c r="B18" i="14" s="1"/>
  <c r="K31" i="14"/>
  <c r="M31" i="14" s="1"/>
  <c r="B19" i="14" s="1"/>
  <c r="K32" i="14"/>
  <c r="M32" i="14" s="1"/>
  <c r="B20" i="14" s="1"/>
  <c r="W59" i="14"/>
  <c r="Y59" i="14" s="1"/>
  <c r="L21" i="14" s="1"/>
  <c r="W58" i="14"/>
  <c r="Y58" i="14" s="1"/>
  <c r="L20" i="14" s="1"/>
  <c r="W57" i="14"/>
  <c r="Y57" i="14" s="1"/>
  <c r="L19" i="14" s="1"/>
  <c r="W56" i="14"/>
  <c r="Y56" i="14" s="1"/>
  <c r="L18" i="14" s="1"/>
  <c r="W55" i="14"/>
  <c r="Y55" i="14" s="1"/>
  <c r="L17" i="14" s="1"/>
  <c r="W54" i="14"/>
  <c r="Y54" i="14" s="1"/>
  <c r="L16" i="14" s="1"/>
  <c r="W53" i="14"/>
  <c r="Y53" i="14" s="1"/>
  <c r="L15" i="14" s="1"/>
  <c r="W52" i="14"/>
  <c r="Y52" i="14" s="1"/>
  <c r="L14" i="14" s="1"/>
  <c r="W50" i="14"/>
  <c r="K50" i="14"/>
  <c r="W46" i="14"/>
  <c r="Y46" i="14" s="1"/>
  <c r="H21" i="14" s="1"/>
  <c r="K46" i="14"/>
  <c r="M46" i="14" s="1"/>
  <c r="F21" i="14" s="1"/>
  <c r="W45" i="14"/>
  <c r="Y45" i="14" s="1"/>
  <c r="H20" i="14" s="1"/>
  <c r="K45" i="14"/>
  <c r="M45" i="14" s="1"/>
  <c r="F20" i="14" s="1"/>
  <c r="W44" i="14"/>
  <c r="Y44" i="14" s="1"/>
  <c r="H19" i="14" s="1"/>
  <c r="K44" i="14"/>
  <c r="M44" i="14" s="1"/>
  <c r="F19" i="14" s="1"/>
  <c r="W43" i="14"/>
  <c r="Y43" i="14" s="1"/>
  <c r="H18" i="14" s="1"/>
  <c r="K43" i="14"/>
  <c r="M43" i="14" s="1"/>
  <c r="F18" i="14" s="1"/>
  <c r="W42" i="14"/>
  <c r="Y42" i="14" s="1"/>
  <c r="H17" i="14" s="1"/>
  <c r="K42" i="14"/>
  <c r="M42" i="14" s="1"/>
  <c r="F17" i="14" s="1"/>
  <c r="W41" i="14"/>
  <c r="Y41" i="14" s="1"/>
  <c r="H16" i="14" s="1"/>
  <c r="K41" i="14"/>
  <c r="M41" i="14" s="1"/>
  <c r="F16" i="14" s="1"/>
  <c r="W40" i="14"/>
  <c r="Y40" i="14" s="1"/>
  <c r="H15" i="14" s="1"/>
  <c r="K40" i="14"/>
  <c r="M40" i="14" s="1"/>
  <c r="F15" i="14" s="1"/>
  <c r="W39" i="14"/>
  <c r="Y39" i="14" s="1"/>
  <c r="H14" i="14" s="1"/>
  <c r="K39" i="14"/>
  <c r="M39" i="14" s="1"/>
  <c r="F14" i="14" s="1"/>
  <c r="W37" i="14"/>
  <c r="K37" i="14"/>
  <c r="W33" i="14"/>
  <c r="Y33" i="14" s="1"/>
  <c r="D21" i="14" s="1"/>
  <c r="K33" i="14"/>
  <c r="M33" i="14" s="1"/>
  <c r="W32" i="14"/>
  <c r="Y32" i="14" s="1"/>
  <c r="D20" i="14" s="1"/>
  <c r="W31" i="14"/>
  <c r="Y31" i="14" s="1"/>
  <c r="D19" i="14" s="1"/>
  <c r="W30" i="14"/>
  <c r="Y30" i="14" s="1"/>
  <c r="D18" i="14" s="1"/>
  <c r="W29" i="14"/>
  <c r="Y29" i="14" s="1"/>
  <c r="D17" i="14" s="1"/>
  <c r="M29" i="14"/>
  <c r="B17" i="14" s="1"/>
  <c r="W28" i="14"/>
  <c r="Y28" i="14" s="1"/>
  <c r="D16" i="14" s="1"/>
  <c r="W27" i="14"/>
  <c r="Y27" i="14" s="1"/>
  <c r="D15" i="14" s="1"/>
  <c r="W26" i="14"/>
  <c r="Y26" i="14" s="1"/>
  <c r="D14" i="14" s="1"/>
  <c r="W24" i="14"/>
  <c r="K24" i="14"/>
  <c r="N20" i="14"/>
  <c r="N19" i="14"/>
  <c r="N18" i="14"/>
  <c r="N17" i="14"/>
  <c r="N16" i="14"/>
  <c r="N15" i="14"/>
  <c r="L5" i="11"/>
  <c r="V6" i="11"/>
  <c r="B23" i="13"/>
  <c r="B11" i="13"/>
  <c r="U19" i="11"/>
  <c r="T19" i="11"/>
  <c r="S19" i="11"/>
  <c r="R19" i="11"/>
  <c r="Q19" i="11"/>
  <c r="P19" i="11"/>
  <c r="O19" i="11"/>
  <c r="N19" i="11"/>
  <c r="M19" i="11"/>
  <c r="J19" i="11"/>
  <c r="I19" i="11"/>
  <c r="H19" i="11"/>
  <c r="G19" i="11"/>
  <c r="F19" i="11"/>
  <c r="E19" i="11"/>
  <c r="D19" i="11"/>
  <c r="C19" i="11"/>
  <c r="B19" i="11"/>
  <c r="V18" i="11"/>
  <c r="K18" i="11"/>
  <c r="U17" i="11"/>
  <c r="T17" i="11"/>
  <c r="S17" i="11"/>
  <c r="R17" i="11"/>
  <c r="Q17" i="11"/>
  <c r="P17" i="11"/>
  <c r="O17" i="11"/>
  <c r="N17" i="11"/>
  <c r="M17" i="11"/>
  <c r="J17" i="11"/>
  <c r="I17" i="11"/>
  <c r="H17" i="11"/>
  <c r="G17" i="11"/>
  <c r="F17" i="11"/>
  <c r="E17" i="11"/>
  <c r="D17" i="11"/>
  <c r="C17" i="11"/>
  <c r="B17" i="11"/>
  <c r="V16" i="11"/>
  <c r="K16" i="11"/>
  <c r="U15" i="11"/>
  <c r="T15" i="11"/>
  <c r="S15" i="11"/>
  <c r="R15" i="11"/>
  <c r="Q15" i="11"/>
  <c r="P15" i="11"/>
  <c r="O15" i="11"/>
  <c r="N15" i="11"/>
  <c r="M15" i="11"/>
  <c r="J15" i="11"/>
  <c r="I15" i="11"/>
  <c r="H15" i="11"/>
  <c r="G15" i="11"/>
  <c r="F15" i="11"/>
  <c r="E15" i="11"/>
  <c r="D15" i="11"/>
  <c r="C15" i="11"/>
  <c r="B15" i="11"/>
  <c r="V14" i="11"/>
  <c r="K14" i="11"/>
  <c r="U13" i="11"/>
  <c r="T13" i="11"/>
  <c r="S13" i="11"/>
  <c r="R13" i="11"/>
  <c r="Q13" i="11"/>
  <c r="P13" i="11"/>
  <c r="O13" i="11"/>
  <c r="N13" i="11"/>
  <c r="M13" i="11"/>
  <c r="J13" i="11"/>
  <c r="I13" i="11"/>
  <c r="H13" i="11"/>
  <c r="G13" i="11"/>
  <c r="F13" i="11"/>
  <c r="E13" i="11"/>
  <c r="D13" i="11"/>
  <c r="C13" i="11"/>
  <c r="B13" i="11"/>
  <c r="V12" i="11"/>
  <c r="K12" i="11"/>
  <c r="U11" i="11"/>
  <c r="T11" i="11"/>
  <c r="S11" i="11"/>
  <c r="R11" i="11"/>
  <c r="Q11" i="11"/>
  <c r="P11" i="11"/>
  <c r="O11" i="11"/>
  <c r="N11" i="11"/>
  <c r="M11" i="11"/>
  <c r="J11" i="11"/>
  <c r="I11" i="11"/>
  <c r="H11" i="11"/>
  <c r="G11" i="11"/>
  <c r="F11" i="11"/>
  <c r="E11" i="11"/>
  <c r="D11" i="11"/>
  <c r="C11" i="11"/>
  <c r="B11" i="11"/>
  <c r="V10" i="11"/>
  <c r="K10" i="11"/>
  <c r="U9" i="11"/>
  <c r="T9" i="11"/>
  <c r="S9" i="11"/>
  <c r="R9" i="11"/>
  <c r="Q9" i="11"/>
  <c r="P9" i="11"/>
  <c r="O9" i="11"/>
  <c r="N9" i="11"/>
  <c r="M9" i="11"/>
  <c r="J9" i="11"/>
  <c r="I9" i="11"/>
  <c r="H9" i="11"/>
  <c r="G9" i="11"/>
  <c r="F9" i="11"/>
  <c r="E9" i="11"/>
  <c r="D9" i="11"/>
  <c r="C9" i="11"/>
  <c r="B9" i="11"/>
  <c r="V8" i="11"/>
  <c r="K8" i="11"/>
  <c r="U7" i="11"/>
  <c r="T7" i="11"/>
  <c r="S7" i="11"/>
  <c r="R7" i="11"/>
  <c r="Q7" i="11"/>
  <c r="P7" i="11"/>
  <c r="O7" i="11"/>
  <c r="N7" i="11"/>
  <c r="M7" i="11"/>
  <c r="J7" i="11"/>
  <c r="I7" i="11"/>
  <c r="H7" i="11"/>
  <c r="G7" i="11"/>
  <c r="F7" i="11"/>
  <c r="E7" i="11"/>
  <c r="D7" i="11"/>
  <c r="C7" i="11"/>
  <c r="B7" i="11"/>
  <c r="K6" i="11"/>
  <c r="U5" i="11"/>
  <c r="T5" i="11"/>
  <c r="S5" i="11"/>
  <c r="R5" i="11"/>
  <c r="Q5" i="11"/>
  <c r="P5" i="11"/>
  <c r="O5" i="11"/>
  <c r="N5" i="11"/>
  <c r="M5" i="11"/>
  <c r="J5" i="11"/>
  <c r="I5" i="11"/>
  <c r="H5" i="11"/>
  <c r="G5" i="11"/>
  <c r="F5" i="11"/>
  <c r="E5" i="11"/>
  <c r="D5" i="11"/>
  <c r="C5" i="11"/>
  <c r="B5" i="11"/>
  <c r="V4" i="11"/>
  <c r="K4" i="11"/>
  <c r="V2" i="11"/>
  <c r="K2" i="11"/>
  <c r="E12" i="15" l="1"/>
  <c r="K12" i="21"/>
  <c r="E12" i="21"/>
  <c r="J4" i="16"/>
  <c r="L4" i="16" s="1"/>
  <c r="M4" i="16" s="1"/>
  <c r="J8" i="16"/>
  <c r="L8" i="16" s="1"/>
  <c r="M8" i="16" s="1"/>
  <c r="L3" i="16"/>
  <c r="M3" i="16" s="1"/>
  <c r="J6" i="16"/>
  <c r="L6" i="16" s="1"/>
  <c r="M6" i="16" s="1"/>
  <c r="V19" i="11"/>
  <c r="W19" i="11" s="1"/>
  <c r="C4" i="12"/>
  <c r="V17" i="11"/>
  <c r="W17" i="11" s="1"/>
  <c r="V15" i="11"/>
  <c r="W15" i="11" s="1"/>
  <c r="V13" i="11"/>
  <c r="W13" i="11" s="1"/>
  <c r="V11" i="11"/>
  <c r="V9" i="11"/>
  <c r="V7" i="11"/>
  <c r="W7" i="11" s="1"/>
  <c r="V5" i="11"/>
  <c r="W5" i="11" s="1"/>
  <c r="K19" i="11"/>
  <c r="K17" i="11"/>
  <c r="L17" i="11" s="1"/>
  <c r="K15" i="11"/>
  <c r="K13" i="11"/>
  <c r="L13" i="11" s="1"/>
  <c r="K11" i="11"/>
  <c r="L11" i="11" s="1"/>
  <c r="K9" i="11"/>
  <c r="L9" i="11" s="1"/>
  <c r="K7" i="11"/>
  <c r="L7" i="11" s="1"/>
  <c r="B7" i="12"/>
  <c r="K5" i="11"/>
  <c r="N43" i="9"/>
  <c r="N42" i="9"/>
  <c r="N41" i="9"/>
  <c r="N40" i="9"/>
  <c r="N39" i="9"/>
  <c r="N38" i="9"/>
  <c r="N37" i="9"/>
  <c r="N36" i="9"/>
  <c r="C9" i="12" l="1"/>
  <c r="C8" i="12"/>
  <c r="C6" i="12"/>
  <c r="W11" i="11"/>
  <c r="C5" i="12"/>
  <c r="W9" i="11"/>
  <c r="C10" i="12"/>
  <c r="C7" i="12"/>
  <c r="D7" i="12" s="1"/>
  <c r="E7" i="12" s="1"/>
  <c r="C3" i="12"/>
  <c r="L19" i="11"/>
  <c r="B4" i="12"/>
  <c r="D4" i="12" s="1"/>
  <c r="E4" i="12" s="1"/>
  <c r="B9" i="12"/>
  <c r="L15" i="11"/>
  <c r="B8" i="12"/>
  <c r="D8" i="12" s="1"/>
  <c r="E8" i="12" s="1"/>
  <c r="B6" i="12"/>
  <c r="B5" i="12"/>
  <c r="B10" i="12"/>
  <c r="B3" i="12"/>
  <c r="W59" i="10"/>
  <c r="Y59" i="10" s="1"/>
  <c r="L21" i="10" s="1"/>
  <c r="K59" i="10"/>
  <c r="M59" i="10" s="1"/>
  <c r="W58" i="10"/>
  <c r="Y58" i="10" s="1"/>
  <c r="L20" i="10" s="1"/>
  <c r="K58" i="10"/>
  <c r="M58" i="10" s="1"/>
  <c r="W57" i="10"/>
  <c r="Y57" i="10" s="1"/>
  <c r="L19" i="10" s="1"/>
  <c r="K57" i="10"/>
  <c r="M57" i="10" s="1"/>
  <c r="W56" i="10"/>
  <c r="Y56" i="10" s="1"/>
  <c r="L18" i="10" s="1"/>
  <c r="K56" i="10"/>
  <c r="M56" i="10" s="1"/>
  <c r="W55" i="10"/>
  <c r="Y55" i="10" s="1"/>
  <c r="L17" i="10" s="1"/>
  <c r="K55" i="10"/>
  <c r="M55" i="10" s="1"/>
  <c r="W54" i="10"/>
  <c r="Y54" i="10" s="1"/>
  <c r="L16" i="10" s="1"/>
  <c r="K54" i="10"/>
  <c r="M54" i="10" s="1"/>
  <c r="W53" i="10"/>
  <c r="Y53" i="10" s="1"/>
  <c r="L15" i="10" s="1"/>
  <c r="K53" i="10"/>
  <c r="M53" i="10" s="1"/>
  <c r="W52" i="10"/>
  <c r="Y52" i="10" s="1"/>
  <c r="L14" i="10" s="1"/>
  <c r="K52" i="10"/>
  <c r="M52" i="10" s="1"/>
  <c r="W50" i="10"/>
  <c r="K50" i="10"/>
  <c r="W46" i="10"/>
  <c r="Y46" i="10" s="1"/>
  <c r="H21" i="10" s="1"/>
  <c r="K46" i="10"/>
  <c r="M46" i="10" s="1"/>
  <c r="F21" i="10" s="1"/>
  <c r="W45" i="10"/>
  <c r="Y45" i="10" s="1"/>
  <c r="H20" i="10" s="1"/>
  <c r="K45" i="10"/>
  <c r="M45" i="10" s="1"/>
  <c r="F20" i="10" s="1"/>
  <c r="W44" i="10"/>
  <c r="Y44" i="10" s="1"/>
  <c r="H19" i="10" s="1"/>
  <c r="K44" i="10"/>
  <c r="M44" i="10" s="1"/>
  <c r="F19" i="10" s="1"/>
  <c r="W43" i="10"/>
  <c r="Y43" i="10" s="1"/>
  <c r="H18" i="10" s="1"/>
  <c r="K43" i="10"/>
  <c r="M43" i="10" s="1"/>
  <c r="F18" i="10" s="1"/>
  <c r="W42" i="10"/>
  <c r="Y42" i="10" s="1"/>
  <c r="H17" i="10" s="1"/>
  <c r="K42" i="10"/>
  <c r="M42" i="10" s="1"/>
  <c r="F17" i="10" s="1"/>
  <c r="W41" i="10"/>
  <c r="Y41" i="10" s="1"/>
  <c r="H16" i="10" s="1"/>
  <c r="K41" i="10"/>
  <c r="M41" i="10" s="1"/>
  <c r="F16" i="10" s="1"/>
  <c r="W40" i="10"/>
  <c r="Y40" i="10" s="1"/>
  <c r="H15" i="10" s="1"/>
  <c r="K40" i="10"/>
  <c r="M40" i="10" s="1"/>
  <c r="F15" i="10" s="1"/>
  <c r="W39" i="10"/>
  <c r="Y39" i="10" s="1"/>
  <c r="H14" i="10" s="1"/>
  <c r="K39" i="10"/>
  <c r="M39" i="10" s="1"/>
  <c r="F14" i="10" s="1"/>
  <c r="W37" i="10"/>
  <c r="K37" i="10"/>
  <c r="W33" i="10"/>
  <c r="Y33" i="10" s="1"/>
  <c r="D21" i="10" s="1"/>
  <c r="K33" i="10"/>
  <c r="M33" i="10" s="1"/>
  <c r="B21" i="10" s="1"/>
  <c r="W32" i="10"/>
  <c r="Y32" i="10" s="1"/>
  <c r="D20" i="10" s="1"/>
  <c r="K32" i="10"/>
  <c r="M32" i="10" s="1"/>
  <c r="B20" i="10" s="1"/>
  <c r="W31" i="10"/>
  <c r="Y31" i="10" s="1"/>
  <c r="D19" i="10" s="1"/>
  <c r="K31" i="10"/>
  <c r="M31" i="10" s="1"/>
  <c r="B19" i="10" s="1"/>
  <c r="W30" i="10"/>
  <c r="Y30" i="10" s="1"/>
  <c r="D18" i="10" s="1"/>
  <c r="K30" i="10"/>
  <c r="M30" i="10" s="1"/>
  <c r="B18" i="10" s="1"/>
  <c r="W29" i="10"/>
  <c r="Y29" i="10" s="1"/>
  <c r="D17" i="10" s="1"/>
  <c r="K29" i="10"/>
  <c r="W28" i="10"/>
  <c r="Y28" i="10" s="1"/>
  <c r="D16" i="10" s="1"/>
  <c r="K28" i="10"/>
  <c r="W27" i="10"/>
  <c r="Y27" i="10" s="1"/>
  <c r="D15" i="10" s="1"/>
  <c r="K27" i="10"/>
  <c r="W26" i="10"/>
  <c r="Y26" i="10" s="1"/>
  <c r="D14" i="10" s="1"/>
  <c r="K26" i="10"/>
  <c r="W24" i="10"/>
  <c r="K24" i="10"/>
  <c r="N21" i="10"/>
  <c r="N20" i="10"/>
  <c r="N19" i="10"/>
  <c r="N18" i="10"/>
  <c r="N17" i="10"/>
  <c r="N16" i="10"/>
  <c r="N15" i="10"/>
  <c r="N14" i="10"/>
  <c r="D3" i="12" l="1"/>
  <c r="E3" i="12" s="1"/>
  <c r="D9" i="12"/>
  <c r="E9" i="12" s="1"/>
  <c r="D6" i="12"/>
  <c r="E6" i="12" s="1"/>
  <c r="D5" i="12"/>
  <c r="E5" i="12" s="1"/>
  <c r="D10" i="12"/>
  <c r="E10" i="12" s="1"/>
  <c r="M27" i="10"/>
  <c r="B15" i="10" s="1"/>
  <c r="M26" i="10"/>
  <c r="B14" i="10" s="1"/>
  <c r="M28" i="10"/>
  <c r="B16" i="10" s="1"/>
  <c r="M29" i="10"/>
  <c r="B17" i="10" s="1"/>
  <c r="P22" i="6" l="1"/>
  <c r="R22" i="6" s="1"/>
  <c r="P20" i="6"/>
  <c r="R20" i="6" s="1"/>
  <c r="P17" i="6"/>
  <c r="R17" i="6" s="1"/>
  <c r="P16" i="6"/>
  <c r="R16" i="6" s="1"/>
  <c r="P19" i="6"/>
  <c r="R19" i="6" s="1"/>
  <c r="P18" i="6"/>
  <c r="P21" i="6"/>
  <c r="R21" i="6" s="1"/>
  <c r="P15" i="6"/>
  <c r="R15" i="6" s="1"/>
  <c r="K59" i="7"/>
  <c r="W27" i="7"/>
  <c r="W28" i="7"/>
  <c r="W29" i="7"/>
  <c r="W30" i="7"/>
  <c r="W31" i="7"/>
  <c r="W32" i="7"/>
  <c r="W33" i="7"/>
  <c r="W26" i="7"/>
  <c r="N32" i="9"/>
  <c r="N31" i="9"/>
  <c r="N29" i="9"/>
  <c r="N28" i="9"/>
  <c r="N27" i="9"/>
  <c r="N26" i="9"/>
  <c r="N25" i="9"/>
  <c r="W59" i="8"/>
  <c r="Y59" i="8" s="1"/>
  <c r="L21" i="8" s="1"/>
  <c r="K59" i="8"/>
  <c r="M59" i="8" s="1"/>
  <c r="J21" i="8" s="1"/>
  <c r="W58" i="8"/>
  <c r="Y58" i="8" s="1"/>
  <c r="L20" i="8" s="1"/>
  <c r="K58" i="8"/>
  <c r="M58" i="8" s="1"/>
  <c r="J20" i="8" s="1"/>
  <c r="W57" i="8"/>
  <c r="Y57" i="8" s="1"/>
  <c r="L19" i="8" s="1"/>
  <c r="K57" i="8"/>
  <c r="M57" i="8" s="1"/>
  <c r="J19" i="8" s="1"/>
  <c r="W56" i="8"/>
  <c r="Y56" i="8" s="1"/>
  <c r="L18" i="8" s="1"/>
  <c r="K56" i="8"/>
  <c r="M56" i="8" s="1"/>
  <c r="J18" i="8" s="1"/>
  <c r="W55" i="8"/>
  <c r="Y55" i="8" s="1"/>
  <c r="L17" i="8" s="1"/>
  <c r="K55" i="8"/>
  <c r="M55" i="8" s="1"/>
  <c r="J17" i="8" s="1"/>
  <c r="W54" i="8"/>
  <c r="Y54" i="8" s="1"/>
  <c r="L16" i="8" s="1"/>
  <c r="K54" i="8"/>
  <c r="M54" i="8" s="1"/>
  <c r="J16" i="8" s="1"/>
  <c r="W53" i="8"/>
  <c r="Y53" i="8" s="1"/>
  <c r="L15" i="8" s="1"/>
  <c r="K53" i="8"/>
  <c r="M53" i="8" s="1"/>
  <c r="J15" i="8" s="1"/>
  <c r="W52" i="8"/>
  <c r="Y52" i="8" s="1"/>
  <c r="L14" i="8" s="1"/>
  <c r="K52" i="8"/>
  <c r="M52" i="8" s="1"/>
  <c r="J14" i="8" s="1"/>
  <c r="W50" i="8"/>
  <c r="K50" i="8"/>
  <c r="W46" i="8"/>
  <c r="Y46" i="8" s="1"/>
  <c r="H21" i="8" s="1"/>
  <c r="K46" i="8"/>
  <c r="M46" i="8" s="1"/>
  <c r="F21" i="8" s="1"/>
  <c r="W45" i="8"/>
  <c r="Y45" i="8" s="1"/>
  <c r="H20" i="8" s="1"/>
  <c r="K45" i="8"/>
  <c r="M45" i="8" s="1"/>
  <c r="F20" i="8" s="1"/>
  <c r="W44" i="8"/>
  <c r="Y44" i="8" s="1"/>
  <c r="H19" i="8" s="1"/>
  <c r="K44" i="8"/>
  <c r="M44" i="8" s="1"/>
  <c r="F19" i="8" s="1"/>
  <c r="W43" i="8"/>
  <c r="Y43" i="8" s="1"/>
  <c r="H18" i="8" s="1"/>
  <c r="K43" i="8"/>
  <c r="M43" i="8" s="1"/>
  <c r="F18" i="8" s="1"/>
  <c r="W42" i="8"/>
  <c r="Y42" i="8" s="1"/>
  <c r="H17" i="8" s="1"/>
  <c r="K42" i="8"/>
  <c r="M42" i="8" s="1"/>
  <c r="F17" i="8" s="1"/>
  <c r="Y41" i="8"/>
  <c r="H16" i="8" s="1"/>
  <c r="W41" i="8"/>
  <c r="K41" i="8"/>
  <c r="M41" i="8" s="1"/>
  <c r="F16" i="8" s="1"/>
  <c r="W40" i="8"/>
  <c r="Y40" i="8" s="1"/>
  <c r="H15" i="8" s="1"/>
  <c r="K40" i="8"/>
  <c r="M40" i="8" s="1"/>
  <c r="F15" i="8" s="1"/>
  <c r="W39" i="8"/>
  <c r="Y39" i="8" s="1"/>
  <c r="H14" i="8" s="1"/>
  <c r="K39" i="8"/>
  <c r="M39" i="8" s="1"/>
  <c r="F14" i="8" s="1"/>
  <c r="W37" i="8"/>
  <c r="K37" i="8"/>
  <c r="W33" i="8"/>
  <c r="Y33" i="8" s="1"/>
  <c r="D21" i="8" s="1"/>
  <c r="K33" i="8"/>
  <c r="M33" i="8" s="1"/>
  <c r="B21" i="8" s="1"/>
  <c r="W32" i="8"/>
  <c r="Y32" i="8" s="1"/>
  <c r="D20" i="8" s="1"/>
  <c r="K32" i="8"/>
  <c r="M32" i="8" s="1"/>
  <c r="B20" i="8" s="1"/>
  <c r="W31" i="8"/>
  <c r="Y31" i="8" s="1"/>
  <c r="D19" i="8" s="1"/>
  <c r="K31" i="8"/>
  <c r="M31" i="8" s="1"/>
  <c r="B19" i="8" s="1"/>
  <c r="W30" i="8"/>
  <c r="Y30" i="8" s="1"/>
  <c r="D18" i="8" s="1"/>
  <c r="K30" i="8"/>
  <c r="M30" i="8" s="1"/>
  <c r="B18" i="8" s="1"/>
  <c r="W29" i="8"/>
  <c r="Y29" i="8" s="1"/>
  <c r="D17" i="8" s="1"/>
  <c r="K29" i="8"/>
  <c r="M29" i="8" s="1"/>
  <c r="B17" i="8" s="1"/>
  <c r="W28" i="8"/>
  <c r="Y28" i="8" s="1"/>
  <c r="D16" i="8" s="1"/>
  <c r="K28" i="8"/>
  <c r="M28" i="8" s="1"/>
  <c r="B16" i="8" s="1"/>
  <c r="W27" i="8"/>
  <c r="Y27" i="8" s="1"/>
  <c r="D15" i="8" s="1"/>
  <c r="K27" i="8"/>
  <c r="M27" i="8" s="1"/>
  <c r="B15" i="8" s="1"/>
  <c r="W26" i="8"/>
  <c r="Y26" i="8" s="1"/>
  <c r="D14" i="8" s="1"/>
  <c r="K26" i="8"/>
  <c r="M26" i="8" s="1"/>
  <c r="B14" i="8" s="1"/>
  <c r="W24" i="8"/>
  <c r="K24" i="8"/>
  <c r="N21" i="8"/>
  <c r="N20" i="8"/>
  <c r="N19" i="8"/>
  <c r="N18" i="8"/>
  <c r="N17" i="8"/>
  <c r="N16" i="8"/>
  <c r="N15" i="8"/>
  <c r="N14" i="8"/>
  <c r="N14" i="7" l="1"/>
  <c r="W59" i="7"/>
  <c r="Y59" i="7" s="1"/>
  <c r="L21" i="7" s="1"/>
  <c r="M59" i="7"/>
  <c r="J21" i="7" s="1"/>
  <c r="W58" i="7"/>
  <c r="Y58" i="7" s="1"/>
  <c r="L20" i="7" s="1"/>
  <c r="K58" i="7"/>
  <c r="M58" i="7" s="1"/>
  <c r="J20" i="7" s="1"/>
  <c r="W57" i="7"/>
  <c r="Y57" i="7" s="1"/>
  <c r="L19" i="7" s="1"/>
  <c r="K57" i="7"/>
  <c r="M57" i="7" s="1"/>
  <c r="J19" i="7" s="1"/>
  <c r="W56" i="7"/>
  <c r="Y56" i="7" s="1"/>
  <c r="L18" i="7" s="1"/>
  <c r="K56" i="7"/>
  <c r="M56" i="7" s="1"/>
  <c r="J18" i="7" s="1"/>
  <c r="W55" i="7"/>
  <c r="Y55" i="7" s="1"/>
  <c r="L17" i="7" s="1"/>
  <c r="K55" i="7"/>
  <c r="M55" i="7" s="1"/>
  <c r="J17" i="7" s="1"/>
  <c r="W54" i="7"/>
  <c r="Y54" i="7" s="1"/>
  <c r="L16" i="7" s="1"/>
  <c r="K54" i="7"/>
  <c r="M54" i="7" s="1"/>
  <c r="J16" i="7" s="1"/>
  <c r="W53" i="7"/>
  <c r="Y53" i="7" s="1"/>
  <c r="L15" i="7" s="1"/>
  <c r="K53" i="7"/>
  <c r="M53" i="7" s="1"/>
  <c r="J15" i="7" s="1"/>
  <c r="W52" i="7"/>
  <c r="Y52" i="7" s="1"/>
  <c r="L14" i="7" s="1"/>
  <c r="K52" i="7"/>
  <c r="M52" i="7" s="1"/>
  <c r="J14" i="7" s="1"/>
  <c r="W50" i="7"/>
  <c r="K50" i="7"/>
  <c r="W46" i="7"/>
  <c r="Y46" i="7" s="1"/>
  <c r="H21" i="7" s="1"/>
  <c r="K46" i="7"/>
  <c r="M46" i="7" s="1"/>
  <c r="F21" i="7" s="1"/>
  <c r="W45" i="7"/>
  <c r="Y45" i="7" s="1"/>
  <c r="H20" i="7" s="1"/>
  <c r="K45" i="7"/>
  <c r="M45" i="7" s="1"/>
  <c r="F20" i="7" s="1"/>
  <c r="W44" i="7"/>
  <c r="Y44" i="7" s="1"/>
  <c r="H19" i="7" s="1"/>
  <c r="K44" i="7"/>
  <c r="M44" i="7" s="1"/>
  <c r="F19" i="7" s="1"/>
  <c r="W43" i="7"/>
  <c r="Y43" i="7" s="1"/>
  <c r="H18" i="7" s="1"/>
  <c r="K43" i="7"/>
  <c r="M43" i="7" s="1"/>
  <c r="F18" i="7" s="1"/>
  <c r="W42" i="7"/>
  <c r="Y42" i="7" s="1"/>
  <c r="H17" i="7" s="1"/>
  <c r="K42" i="7"/>
  <c r="M42" i="7" s="1"/>
  <c r="F17" i="7" s="1"/>
  <c r="W41" i="7"/>
  <c r="Y41" i="7" s="1"/>
  <c r="H16" i="7" s="1"/>
  <c r="K41" i="7"/>
  <c r="M41" i="7" s="1"/>
  <c r="F16" i="7" s="1"/>
  <c r="W40" i="7"/>
  <c r="Y40" i="7" s="1"/>
  <c r="H15" i="7" s="1"/>
  <c r="K40" i="7"/>
  <c r="M40" i="7" s="1"/>
  <c r="F15" i="7" s="1"/>
  <c r="W39" i="7"/>
  <c r="Y39" i="7" s="1"/>
  <c r="H14" i="7" s="1"/>
  <c r="K39" i="7"/>
  <c r="M39" i="7" s="1"/>
  <c r="F14" i="7" s="1"/>
  <c r="W37" i="7"/>
  <c r="K37" i="7"/>
  <c r="Y33" i="7"/>
  <c r="D21" i="7" s="1"/>
  <c r="K33" i="7"/>
  <c r="M33" i="7" s="1"/>
  <c r="B21" i="7" s="1"/>
  <c r="Y32" i="7"/>
  <c r="D20" i="7" s="1"/>
  <c r="K32" i="7"/>
  <c r="M32" i="7" s="1"/>
  <c r="B20" i="7" s="1"/>
  <c r="Y31" i="7"/>
  <c r="D19" i="7" s="1"/>
  <c r="K31" i="7"/>
  <c r="M31" i="7" s="1"/>
  <c r="B19" i="7" s="1"/>
  <c r="Y30" i="7"/>
  <c r="D18" i="7" s="1"/>
  <c r="K30" i="7"/>
  <c r="M30" i="7" s="1"/>
  <c r="B18" i="7" s="1"/>
  <c r="Y29" i="7"/>
  <c r="D17" i="7" s="1"/>
  <c r="K29" i="7"/>
  <c r="M29" i="7" s="1"/>
  <c r="B17" i="7" s="1"/>
  <c r="Y28" i="7"/>
  <c r="D16" i="7" s="1"/>
  <c r="K28" i="7"/>
  <c r="M28" i="7" s="1"/>
  <c r="B16" i="7" s="1"/>
  <c r="Y27" i="7"/>
  <c r="D15" i="7" s="1"/>
  <c r="K27" i="7"/>
  <c r="M27" i="7" s="1"/>
  <c r="B15" i="7" s="1"/>
  <c r="Y26" i="7"/>
  <c r="D14" i="7" s="1"/>
  <c r="K26" i="7"/>
  <c r="M26" i="7" s="1"/>
  <c r="B14" i="7" s="1"/>
  <c r="W24" i="7"/>
  <c r="K24" i="7"/>
  <c r="N21" i="7"/>
  <c r="N20" i="7"/>
  <c r="N19" i="7"/>
  <c r="N18" i="7"/>
  <c r="N17" i="7"/>
  <c r="N16" i="7"/>
  <c r="N15" i="7"/>
  <c r="W59" i="3" l="1"/>
  <c r="Y59" i="3" s="1"/>
  <c r="L21" i="3" s="1"/>
  <c r="K59" i="3"/>
  <c r="M59" i="3" s="1"/>
  <c r="J21" i="3" s="1"/>
  <c r="W58" i="3"/>
  <c r="Y58" i="3" s="1"/>
  <c r="L20" i="3" s="1"/>
  <c r="K58" i="3"/>
  <c r="M58" i="3" s="1"/>
  <c r="J20" i="3" s="1"/>
  <c r="W57" i="3"/>
  <c r="Y57" i="3" s="1"/>
  <c r="L19" i="3" s="1"/>
  <c r="K57" i="3"/>
  <c r="M57" i="3" s="1"/>
  <c r="J19" i="3" s="1"/>
  <c r="W56" i="3"/>
  <c r="Y56" i="3" s="1"/>
  <c r="L18" i="3" s="1"/>
  <c r="K56" i="3"/>
  <c r="M56" i="3" s="1"/>
  <c r="J18" i="3" s="1"/>
  <c r="W55" i="3"/>
  <c r="Y55" i="3" s="1"/>
  <c r="L17" i="3" s="1"/>
  <c r="K55" i="3"/>
  <c r="M55" i="3" s="1"/>
  <c r="J17" i="3" s="1"/>
  <c r="W54" i="3"/>
  <c r="Y54" i="3" s="1"/>
  <c r="L16" i="3" s="1"/>
  <c r="K54" i="3"/>
  <c r="M54" i="3" s="1"/>
  <c r="J16" i="3" s="1"/>
  <c r="W53" i="3"/>
  <c r="Y53" i="3" s="1"/>
  <c r="L15" i="3" s="1"/>
  <c r="K53" i="3"/>
  <c r="M53" i="3" s="1"/>
  <c r="J15" i="3" s="1"/>
  <c r="W52" i="3"/>
  <c r="Y52" i="3" s="1"/>
  <c r="L14" i="3" s="1"/>
  <c r="K52" i="3"/>
  <c r="M52" i="3" s="1"/>
  <c r="J14" i="3" s="1"/>
  <c r="W50" i="3"/>
  <c r="K50" i="3"/>
  <c r="W46" i="3" l="1"/>
  <c r="Y46" i="3" s="1"/>
  <c r="H21" i="3" s="1"/>
  <c r="K46" i="3"/>
  <c r="M46" i="3" s="1"/>
  <c r="F21" i="3" s="1"/>
  <c r="W45" i="3"/>
  <c r="Y45" i="3" s="1"/>
  <c r="H20" i="3" s="1"/>
  <c r="K45" i="3"/>
  <c r="M45" i="3" s="1"/>
  <c r="F20" i="3" s="1"/>
  <c r="W44" i="3"/>
  <c r="Y44" i="3" s="1"/>
  <c r="H19" i="3" s="1"/>
  <c r="K44" i="3"/>
  <c r="M44" i="3" s="1"/>
  <c r="F19" i="3" s="1"/>
  <c r="W43" i="3"/>
  <c r="Y43" i="3" s="1"/>
  <c r="H18" i="3" s="1"/>
  <c r="K43" i="3"/>
  <c r="M43" i="3" s="1"/>
  <c r="F18" i="3" s="1"/>
  <c r="W42" i="3"/>
  <c r="Y42" i="3" s="1"/>
  <c r="H17" i="3" s="1"/>
  <c r="K42" i="3"/>
  <c r="M42" i="3" s="1"/>
  <c r="F17" i="3" s="1"/>
  <c r="W41" i="3"/>
  <c r="Y41" i="3" s="1"/>
  <c r="H16" i="3" s="1"/>
  <c r="K41" i="3"/>
  <c r="M41" i="3" s="1"/>
  <c r="F16" i="3" s="1"/>
  <c r="W40" i="3"/>
  <c r="Y40" i="3" s="1"/>
  <c r="H15" i="3" s="1"/>
  <c r="K40" i="3"/>
  <c r="M40" i="3" s="1"/>
  <c r="F15" i="3" s="1"/>
  <c r="W39" i="3"/>
  <c r="Y39" i="3" s="1"/>
  <c r="H14" i="3" s="1"/>
  <c r="K39" i="3"/>
  <c r="M39" i="3" s="1"/>
  <c r="F14" i="3" s="1"/>
  <c r="W37" i="3"/>
  <c r="K37" i="3"/>
  <c r="N15" i="3" l="1"/>
  <c r="N16" i="3" l="1"/>
  <c r="N17" i="3"/>
  <c r="N20" i="3"/>
  <c r="N14" i="3"/>
  <c r="N18" i="3"/>
  <c r="N21" i="3"/>
  <c r="N19" i="3"/>
  <c r="K27" i="3"/>
  <c r="M27" i="3" s="1"/>
  <c r="B15" i="3" s="1"/>
  <c r="K26" i="3"/>
  <c r="W26" i="3"/>
  <c r="Y26" i="3" s="1"/>
  <c r="K24" i="3"/>
  <c r="W24" i="3"/>
  <c r="W27" i="3"/>
  <c r="Y27" i="3" s="1"/>
  <c r="K28" i="3"/>
  <c r="M28" i="3" s="1"/>
  <c r="B16" i="3" s="1"/>
  <c r="W28" i="3"/>
  <c r="Y28" i="3" s="1"/>
  <c r="K29" i="3"/>
  <c r="M29" i="3" s="1"/>
  <c r="B17" i="3" s="1"/>
  <c r="W29" i="3"/>
  <c r="Y29" i="3" s="1"/>
  <c r="K30" i="3"/>
  <c r="M30" i="3" s="1"/>
  <c r="B18" i="3" s="1"/>
  <c r="W30" i="3"/>
  <c r="Y30" i="3" s="1"/>
  <c r="K31" i="3"/>
  <c r="M31" i="3" s="1"/>
  <c r="B19" i="3" s="1"/>
  <c r="W31" i="3"/>
  <c r="Y31" i="3" s="1"/>
  <c r="K32" i="3"/>
  <c r="M32" i="3" s="1"/>
  <c r="B20" i="3" s="1"/>
  <c r="W32" i="3"/>
  <c r="Y32" i="3" s="1"/>
  <c r="D18" i="3" s="1"/>
  <c r="K33" i="3"/>
  <c r="M33" i="3" s="1"/>
  <c r="B21" i="3" s="1"/>
  <c r="W33" i="3"/>
  <c r="Y33" i="3" s="1"/>
  <c r="D21" i="3" s="1"/>
  <c r="D15" i="3" l="1"/>
  <c r="D17" i="3"/>
  <c r="D20" i="3"/>
  <c r="D16" i="3"/>
  <c r="D19" i="3"/>
  <c r="D14" i="3"/>
  <c r="M26" i="3"/>
  <c r="B14" i="3" s="1"/>
  <c r="U19" i="1"/>
  <c r="T19" i="1"/>
  <c r="S19" i="1"/>
  <c r="R19" i="1"/>
  <c r="Q19" i="1"/>
  <c r="P19" i="1"/>
  <c r="O19" i="1"/>
  <c r="N19" i="1"/>
  <c r="M19" i="1"/>
  <c r="V18" i="1"/>
  <c r="C9" i="6" s="1"/>
  <c r="J9" i="6" s="1"/>
  <c r="U17" i="1"/>
  <c r="T17" i="1"/>
  <c r="S17" i="1"/>
  <c r="R17" i="1"/>
  <c r="Q17" i="1"/>
  <c r="P17" i="1"/>
  <c r="O17" i="1"/>
  <c r="N17" i="1"/>
  <c r="M17" i="1"/>
  <c r="V16" i="1"/>
  <c r="C8" i="6" s="1"/>
  <c r="U15" i="1"/>
  <c r="T15" i="1"/>
  <c r="S15" i="1"/>
  <c r="R15" i="1"/>
  <c r="Q15" i="1"/>
  <c r="P15" i="1"/>
  <c r="O15" i="1"/>
  <c r="N15" i="1"/>
  <c r="M15" i="1"/>
  <c r="V14" i="1"/>
  <c r="C7" i="6" s="1"/>
  <c r="U13" i="1"/>
  <c r="T13" i="1"/>
  <c r="S13" i="1"/>
  <c r="R13" i="1"/>
  <c r="Q13" i="1"/>
  <c r="P13" i="1"/>
  <c r="O13" i="1"/>
  <c r="N13" i="1"/>
  <c r="M13" i="1"/>
  <c r="V12" i="1"/>
  <c r="C6" i="6" s="1"/>
  <c r="U11" i="1"/>
  <c r="T11" i="1"/>
  <c r="S11" i="1"/>
  <c r="R11" i="1"/>
  <c r="Q11" i="1"/>
  <c r="P11" i="1"/>
  <c r="O11" i="1"/>
  <c r="N11" i="1"/>
  <c r="M11" i="1"/>
  <c r="V10" i="1"/>
  <c r="C5" i="6" s="1"/>
  <c r="U9" i="1"/>
  <c r="T9" i="1"/>
  <c r="S9" i="1"/>
  <c r="R9" i="1"/>
  <c r="Q9" i="1"/>
  <c r="P9" i="1"/>
  <c r="O9" i="1"/>
  <c r="N9" i="1"/>
  <c r="M9" i="1"/>
  <c r="V8" i="1"/>
  <c r="C4" i="6" s="1"/>
  <c r="U7" i="1"/>
  <c r="T7" i="1"/>
  <c r="S7" i="1"/>
  <c r="R7" i="1"/>
  <c r="Q7" i="1"/>
  <c r="P7" i="1"/>
  <c r="O7" i="1"/>
  <c r="N7" i="1"/>
  <c r="M7" i="1"/>
  <c r="V6" i="1"/>
  <c r="C3" i="6" s="1"/>
  <c r="U5" i="1"/>
  <c r="T5" i="1"/>
  <c r="S5" i="1"/>
  <c r="R5" i="1"/>
  <c r="Q5" i="1"/>
  <c r="P5" i="1"/>
  <c r="O5" i="1"/>
  <c r="N5" i="1"/>
  <c r="M5" i="1"/>
  <c r="V4" i="1"/>
  <c r="C2" i="6" s="1"/>
  <c r="C19" i="1"/>
  <c r="D19" i="1"/>
  <c r="E19" i="1"/>
  <c r="F19" i="1"/>
  <c r="G19" i="1"/>
  <c r="H19" i="1"/>
  <c r="I19" i="1"/>
  <c r="J19" i="1"/>
  <c r="B19" i="1"/>
  <c r="C17" i="1"/>
  <c r="D17" i="1"/>
  <c r="E17" i="1"/>
  <c r="F17" i="1"/>
  <c r="G17" i="1"/>
  <c r="H17" i="1"/>
  <c r="I17" i="1"/>
  <c r="J17" i="1"/>
  <c r="B17" i="1"/>
  <c r="C15" i="1"/>
  <c r="D15" i="1"/>
  <c r="E15" i="1"/>
  <c r="F15" i="1"/>
  <c r="G15" i="1"/>
  <c r="H15" i="1"/>
  <c r="I15" i="1"/>
  <c r="J15" i="1"/>
  <c r="B15" i="1"/>
  <c r="C13" i="1"/>
  <c r="D13" i="1"/>
  <c r="E13" i="1"/>
  <c r="F13" i="1"/>
  <c r="G13" i="1"/>
  <c r="H13" i="1"/>
  <c r="I13" i="1"/>
  <c r="J13" i="1"/>
  <c r="B13" i="1"/>
  <c r="C11" i="1"/>
  <c r="D11" i="1"/>
  <c r="E11" i="1"/>
  <c r="F11" i="1"/>
  <c r="G11" i="1"/>
  <c r="H11" i="1"/>
  <c r="I11" i="1"/>
  <c r="J11" i="1"/>
  <c r="B11" i="1"/>
  <c r="C9" i="1"/>
  <c r="D9" i="1"/>
  <c r="E9" i="1"/>
  <c r="F9" i="1"/>
  <c r="G9" i="1"/>
  <c r="H9" i="1"/>
  <c r="I9" i="1"/>
  <c r="J9" i="1"/>
  <c r="B9" i="1"/>
  <c r="C7" i="1"/>
  <c r="D7" i="1"/>
  <c r="E7" i="1"/>
  <c r="F7" i="1"/>
  <c r="G7" i="1"/>
  <c r="H7" i="1"/>
  <c r="I7" i="1"/>
  <c r="J7" i="1"/>
  <c r="B7" i="1"/>
  <c r="C5" i="1"/>
  <c r="D5" i="1"/>
  <c r="E5" i="1"/>
  <c r="F5" i="1"/>
  <c r="G5" i="1"/>
  <c r="H5" i="1"/>
  <c r="I5" i="1"/>
  <c r="J5" i="1"/>
  <c r="B5" i="1"/>
  <c r="L9" i="6" l="1"/>
  <c r="M9" i="6" s="1"/>
  <c r="V5" i="1"/>
  <c r="C3" i="2" s="1"/>
  <c r="V11" i="1"/>
  <c r="V19" i="1"/>
  <c r="V17" i="1"/>
  <c r="V15" i="1"/>
  <c r="V13" i="1"/>
  <c r="V9" i="1"/>
  <c r="C5" i="2" s="1"/>
  <c r="V7" i="1"/>
  <c r="C4" i="2" l="1"/>
  <c r="C6" i="2"/>
  <c r="C7" i="2"/>
  <c r="C8" i="2"/>
  <c r="C9" i="2"/>
  <c r="C10" i="2"/>
  <c r="K4" i="1"/>
  <c r="B2" i="6" s="1"/>
  <c r="J2" i="6" s="1"/>
  <c r="L2" i="6" s="1"/>
  <c r="M2" i="6" s="1"/>
  <c r="K5" i="1"/>
  <c r="K6" i="1"/>
  <c r="B3" i="6" s="1"/>
  <c r="J3" i="6" s="1"/>
  <c r="L3" i="6" s="1"/>
  <c r="M3" i="6" s="1"/>
  <c r="K7" i="1"/>
  <c r="K8" i="1"/>
  <c r="B4" i="6" s="1"/>
  <c r="J4" i="6" s="1"/>
  <c r="L4" i="6" s="1"/>
  <c r="M4" i="6" s="1"/>
  <c r="K9" i="1"/>
  <c r="K10" i="1"/>
  <c r="B5" i="6" s="1"/>
  <c r="J5" i="6" s="1"/>
  <c r="L5" i="6" s="1"/>
  <c r="M5" i="6" s="1"/>
  <c r="K11" i="1"/>
  <c r="K12" i="1"/>
  <c r="B6" i="6" s="1"/>
  <c r="J6" i="6" s="1"/>
  <c r="L6" i="6" s="1"/>
  <c r="M6" i="6" s="1"/>
  <c r="K13" i="1"/>
  <c r="K14" i="1"/>
  <c r="B7" i="6" s="1"/>
  <c r="J7" i="6" s="1"/>
  <c r="L7" i="6" s="1"/>
  <c r="M7" i="6" s="1"/>
  <c r="K15" i="1"/>
  <c r="K16" i="1"/>
  <c r="B8" i="6" s="1"/>
  <c r="J8" i="6" s="1"/>
  <c r="L8" i="6" s="1"/>
  <c r="M8" i="6" s="1"/>
  <c r="K17" i="1"/>
  <c r="K18" i="1"/>
  <c r="K19" i="1"/>
  <c r="V2" i="1"/>
  <c r="K2" i="1"/>
  <c r="L13" i="1" l="1"/>
  <c r="B6" i="2"/>
  <c r="D6" i="2" s="1"/>
  <c r="E6" i="2" s="1"/>
  <c r="L11" i="1"/>
  <c r="L7" i="1"/>
  <c r="B5" i="2"/>
  <c r="D5" i="2" s="1"/>
  <c r="E5" i="2" s="1"/>
  <c r="L9" i="1"/>
  <c r="D10" i="2"/>
  <c r="E10" i="2" s="1"/>
  <c r="B9" i="2"/>
  <c r="D9" i="2" s="1"/>
  <c r="E9" i="2" s="1"/>
  <c r="L17" i="1"/>
  <c r="B8" i="2"/>
  <c r="D8" i="2" s="1"/>
  <c r="E8" i="2" s="1"/>
  <c r="L15" i="1"/>
  <c r="B7" i="2"/>
  <c r="D7" i="2" s="1"/>
  <c r="E7" i="2" s="1"/>
  <c r="W5" i="1"/>
  <c r="W7" i="1"/>
  <c r="W9" i="1"/>
  <c r="W13" i="1"/>
  <c r="W15" i="1"/>
  <c r="W17" i="1"/>
  <c r="W19" i="1"/>
  <c r="W11" i="1"/>
  <c r="B4" i="2"/>
  <c r="D4" i="2" s="1"/>
  <c r="E4" i="2" s="1"/>
  <c r="B3" i="2"/>
  <c r="D3" i="2" s="1"/>
  <c r="E3" i="2" s="1"/>
  <c r="L5" i="1"/>
</calcChain>
</file>

<file path=xl/sharedStrings.xml><?xml version="1.0" encoding="utf-8"?>
<sst xmlns="http://schemas.openxmlformats.org/spreadsheetml/2006/main" count="1797" uniqueCount="132">
  <si>
    <t>Lance</t>
  </si>
  <si>
    <t>Player</t>
  </si>
  <si>
    <t>Shea</t>
  </si>
  <si>
    <t>Tim</t>
  </si>
  <si>
    <t>Sonat</t>
  </si>
  <si>
    <t>Cody</t>
  </si>
  <si>
    <t>Jordan</t>
  </si>
  <si>
    <t>Lindsay</t>
  </si>
  <si>
    <t>Jeremy</t>
  </si>
  <si>
    <t>Total</t>
  </si>
  <si>
    <t>Paynes Valley Wk 1</t>
  </si>
  <si>
    <t>Adjusted HC</t>
  </si>
  <si>
    <t>Week 1</t>
  </si>
  <si>
    <t>Week 2</t>
  </si>
  <si>
    <t>Handicap</t>
  </si>
  <si>
    <t>Par</t>
  </si>
  <si>
    <t>2 Wk Ave</t>
  </si>
  <si>
    <t>Par 36</t>
  </si>
  <si>
    <t>Grove XXIII</t>
  </si>
  <si>
    <t>Tournament 1</t>
  </si>
  <si>
    <t>Score</t>
  </si>
  <si>
    <t>193 yrd</t>
  </si>
  <si>
    <t>126 yrd</t>
  </si>
  <si>
    <t>Week 3</t>
  </si>
  <si>
    <t>Week 4</t>
  </si>
  <si>
    <t>Week 5</t>
  </si>
  <si>
    <t>Week 6</t>
  </si>
  <si>
    <t>Points</t>
  </si>
  <si>
    <t>1st</t>
  </si>
  <si>
    <t>2nd</t>
  </si>
  <si>
    <t>3rd</t>
  </si>
  <si>
    <t>4th</t>
  </si>
  <si>
    <t>5th</t>
  </si>
  <si>
    <t>6th</t>
  </si>
  <si>
    <t>7th</t>
  </si>
  <si>
    <t>8th</t>
  </si>
  <si>
    <t>*split points if tied*</t>
  </si>
  <si>
    <t>Closest Too</t>
  </si>
  <si>
    <t>155 yrd</t>
  </si>
  <si>
    <t>210 yrd</t>
  </si>
  <si>
    <t>-</t>
  </si>
  <si>
    <t>Row Labels</t>
  </si>
  <si>
    <t>Grand Total</t>
  </si>
  <si>
    <t>Sum of Total</t>
  </si>
  <si>
    <t>TPC Scottdale</t>
  </si>
  <si>
    <t>147 yrd</t>
  </si>
  <si>
    <t>114 yrd</t>
  </si>
  <si>
    <t>Wynn</t>
  </si>
  <si>
    <t>116 yrd</t>
  </si>
  <si>
    <t>winner</t>
  </si>
  <si>
    <t>140 yrd</t>
  </si>
  <si>
    <t>Week 7</t>
  </si>
  <si>
    <t>Week 8</t>
  </si>
  <si>
    <t>rounds</t>
  </si>
  <si>
    <t>total</t>
  </si>
  <si>
    <t>old</t>
  </si>
  <si>
    <t>Ave 9 score</t>
  </si>
  <si>
    <t>new cap</t>
  </si>
  <si>
    <t>Ave 9 hole</t>
  </si>
  <si>
    <t>Tournament 2</t>
  </si>
  <si>
    <t>Cypress Point</t>
  </si>
  <si>
    <t>217 yrd</t>
  </si>
  <si>
    <t>166 yrd</t>
  </si>
  <si>
    <t>156 yrd</t>
  </si>
  <si>
    <t>121 yrd</t>
  </si>
  <si>
    <t>The Dunes</t>
  </si>
  <si>
    <t>131 yrd</t>
  </si>
  <si>
    <t>119 yrd</t>
  </si>
  <si>
    <t>144 yrd</t>
  </si>
  <si>
    <t>139 yrd</t>
  </si>
  <si>
    <t>Whisler Nickalaus</t>
  </si>
  <si>
    <t>162 yrd</t>
  </si>
  <si>
    <t>137 yrd</t>
  </si>
  <si>
    <t>167 yrd</t>
  </si>
  <si>
    <t>186 yrd</t>
  </si>
  <si>
    <t>130 yrd</t>
  </si>
  <si>
    <t/>
  </si>
  <si>
    <t>Week 9</t>
  </si>
  <si>
    <t>Week 10</t>
  </si>
  <si>
    <t>Week 11</t>
  </si>
  <si>
    <t>Week 12</t>
  </si>
  <si>
    <t>Week 13</t>
  </si>
  <si>
    <t>Week 14</t>
  </si>
  <si>
    <t>ave 9 score</t>
  </si>
  <si>
    <t>Tournament 3</t>
  </si>
  <si>
    <t>Mattaponi Springs</t>
  </si>
  <si>
    <t>115 yrd</t>
  </si>
  <si>
    <t>158 yrd</t>
  </si>
  <si>
    <t>189 yrd</t>
  </si>
  <si>
    <t>136 yrd</t>
  </si>
  <si>
    <t>Week 15</t>
  </si>
  <si>
    <t>Week 16</t>
  </si>
  <si>
    <t>Week 17</t>
  </si>
  <si>
    <t>Week 18</t>
  </si>
  <si>
    <t>226 yrd</t>
  </si>
  <si>
    <t>173 yrd</t>
  </si>
  <si>
    <t>Augusta</t>
  </si>
  <si>
    <t>Cabot Cliff</t>
  </si>
  <si>
    <t>109 yrd</t>
  </si>
  <si>
    <t>153 yrd</t>
  </si>
  <si>
    <t>200 yrd</t>
  </si>
  <si>
    <t>125 yrd</t>
  </si>
  <si>
    <t>0,9</t>
  </si>
  <si>
    <t>Michael</t>
  </si>
  <si>
    <t>120 yrd</t>
  </si>
  <si>
    <t>196 yrd</t>
  </si>
  <si>
    <t>Chip In</t>
  </si>
  <si>
    <t>Hole In 1</t>
  </si>
  <si>
    <t>172 yrd</t>
  </si>
  <si>
    <t>Whispering Pines</t>
  </si>
  <si>
    <t>176 yrd</t>
  </si>
  <si>
    <t>184 yrd</t>
  </si>
  <si>
    <t>Tourney $</t>
  </si>
  <si>
    <t>Chip Ins</t>
  </si>
  <si>
    <t>Silvertip</t>
  </si>
  <si>
    <t>159 yrd</t>
  </si>
  <si>
    <t>117 yrd</t>
  </si>
  <si>
    <t>170 yrd</t>
  </si>
  <si>
    <t>*</t>
  </si>
  <si>
    <t>Bigwin</t>
  </si>
  <si>
    <t>Stonebridge</t>
  </si>
  <si>
    <t>138 yrd</t>
  </si>
  <si>
    <t>142 yrd</t>
  </si>
  <si>
    <t>141 yrd</t>
  </si>
  <si>
    <t>Overall</t>
  </si>
  <si>
    <t>Shadow Creek</t>
  </si>
  <si>
    <t>160 yrd</t>
  </si>
  <si>
    <t>202 yrd</t>
  </si>
  <si>
    <t>Greystone</t>
  </si>
  <si>
    <t>171 yrd</t>
  </si>
  <si>
    <t>Week 19</t>
  </si>
  <si>
    <t>Week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</si>
</sst>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0.0"/>
    <numFmt numFmtId="165" formatCode="&quot;$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52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2" borderId="1" xfId="0" applyFill="1" applyBorder="1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2" borderId="2" xfId="0" applyFill="1" applyBorder="1"/>
    <xf numFmtId="0" fontId="0" fillId="0" borderId="2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2" borderId="3" xfId="0" applyFill="1" applyBorder="1"/>
    <xf numFmtId="0" fontId="0" fillId="0" borderId="3" xfId="0" applyBorder="1" applyAlignment="1">
      <alignment horizontal="center"/>
    </xf>
    <xf numFmtId="0" fontId="1" fillId="0" borderId="0" xfId="0" applyFont="1"/>
    <xf numFmtId="164" fontId="1" fillId="0" borderId="1" xfId="0" applyNumberFormat="1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4" fontId="0" fillId="3" borderId="1" xfId="0" applyNumberForma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4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164" fontId="0" fillId="0" borderId="0" xfId="0" applyNumberFormat="1"/>
    <xf numFmtId="1" fontId="1" fillId="0" borderId="0" xfId="0" applyNumberFormat="1" applyFont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0" fillId="0" borderId="0" xfId="0" quotePrefix="1"/>
    <xf numFmtId="1" fontId="1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" fillId="3" borderId="0" xfId="0" applyFont="1" applyFill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1" xfId="0" applyNumberFormat="1" applyBorder="1" applyAlignment="1">
      <alignment horizontal="center"/>
    </xf>
    <xf numFmtId="165" fontId="0" fillId="0" borderId="0" xfId="0" applyNumberFormat="1"/>
    <xf numFmtId="165" fontId="1" fillId="0" borderId="0" xfId="0" applyNumberFormat="1" applyFont="1"/>
    <xf numFmtId="0" fontId="0" fillId="2" borderId="1" xfId="0" applyFill="1" applyBorder="1" applyAlignment="1">
      <alignment horizontal="center"/>
    </xf>
    <xf numFmtId="165" fontId="0" fillId="0" borderId="1" xfId="0" applyNumberFormat="1" applyBorder="1"/>
    <xf numFmtId="165" fontId="0" fillId="3" borderId="1" xfId="0" applyNumberFormat="1" applyFill="1" applyBorder="1" applyAlignment="1">
      <alignment horizontal="center"/>
    </xf>
    <xf numFmtId="165" fontId="0" fillId="3" borderId="1" xfId="0" applyNumberFormat="1" applyFill="1" applyBorder="1"/>
    <xf numFmtId="165" fontId="1" fillId="0" borderId="1" xfId="0" applyNumberFormat="1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1" xfId="0" applyFill="1" applyBorder="1" applyAlignment="1">
      <alignment horizontal="center"/>
    </xf>
    <xf numFmtId="164" fontId="0" fillId="0" borderId="1" xfId="0" applyNumberFormat="1" applyFill="1" applyBorder="1" applyAlignment="1">
      <alignment horizontal="center"/>
    </xf>
    <xf numFmtId="165" fontId="0" fillId="0" borderId="1" xfId="1" applyNumberFormat="1" applyFont="1" applyBorder="1"/>
    <xf numFmtId="0" fontId="1" fillId="0" borderId="1" xfId="0" applyFont="1" applyBorder="1" applyAlignment="1">
      <alignment horizont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6.xml"/><Relationship Id="rId21" Type="http://schemas.openxmlformats.org/officeDocument/2006/relationships/pivotCacheDefinition" Target="pivotCache/pivotCacheDefinition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5.xml"/><Relationship Id="rId33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pivotCacheDefinition" Target="pivotCache/pivotCacheDefinition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4.xml"/><Relationship Id="rId32" Type="http://schemas.openxmlformats.org/officeDocument/2006/relationships/sharedStrings" Target="sharedStrings.xml"/><Relationship Id="rId37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3.xml"/><Relationship Id="rId28" Type="http://schemas.openxmlformats.org/officeDocument/2006/relationships/pivotCacheDefinition" Target="pivotCache/pivotCacheDefinition8.xml"/><Relationship Id="rId36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2.xml"/><Relationship Id="rId27" Type="http://schemas.openxmlformats.org/officeDocument/2006/relationships/pivotCacheDefinition" Target="pivotCache/pivotCacheDefinition7.xml"/><Relationship Id="rId30" Type="http://schemas.openxmlformats.org/officeDocument/2006/relationships/theme" Target="theme/theme1.xml"/><Relationship Id="rId35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ea Riley (WB)" refreshedDate="46114.987934375" createdVersion="6" refreshedVersion="8" minRefreshableVersion="3" recordCount="30" xr:uid="{00000000-000A-0000-FFFF-FFFF04000000}">
  <cacheSource type="worksheet">
    <worksheetSource ref="A13:N43" sheet="Leaderboard 2025"/>
  </cacheSource>
  <cacheFields count="14">
    <cacheField name="Player" numFmtId="0">
      <sharedItems containsBlank="1" count="12">
        <s v="Cody"/>
        <s v="Jordan"/>
        <s v="Lindsay"/>
        <s v="Lance"/>
        <s v="Shea"/>
        <s v="Tim"/>
        <s v="Sonat"/>
        <s v="Jeremy"/>
        <m/>
        <s v="Tournament 2"/>
        <s v="Player"/>
        <s v="Tournament 3"/>
      </sharedItems>
    </cacheField>
    <cacheField name="Week 1" numFmtId="0">
      <sharedItems containsBlank="1" containsMixedTypes="1" containsNumber="1" minValue="-25" maxValue="49.708333333333336"/>
    </cacheField>
    <cacheField name="Points" numFmtId="0">
      <sharedItems containsBlank="1" containsMixedTypes="1" containsNumber="1" minValue="1" maxValue="8"/>
    </cacheField>
    <cacheField name="Week 2" numFmtId="0">
      <sharedItems containsBlank="1" containsMixedTypes="1" containsNumber="1" minValue="-25.5" maxValue="53.44318181818182"/>
    </cacheField>
    <cacheField name="Points2" numFmtId="0">
      <sharedItems containsBlank="1" containsMixedTypes="1" containsNumber="1" minValue="1" maxValue="8"/>
    </cacheField>
    <cacheField name="Week 3" numFmtId="0">
      <sharedItems containsBlank="1" containsMixedTypes="1" containsNumber="1" minValue="-25.5" maxValue="46.325000000000003"/>
    </cacheField>
    <cacheField name="Points3" numFmtId="0">
      <sharedItems containsBlank="1" containsMixedTypes="1" containsNumber="1" minValue="1" maxValue="8"/>
    </cacheField>
    <cacheField name="Week 4" numFmtId="0">
      <sharedItems containsBlank="1" containsMixedTypes="1" containsNumber="1" minValue="-10.5" maxValue="50.44318181818182"/>
    </cacheField>
    <cacheField name="Points4" numFmtId="0">
      <sharedItems containsBlank="1" containsMixedTypes="1" containsNumber="1" minValue="1" maxValue="8"/>
    </cacheField>
    <cacheField name="Week 5" numFmtId="0">
      <sharedItems containsBlank="1" containsMixedTypes="1" containsNumber="1" minValue="-24" maxValue="47.5"/>
    </cacheField>
    <cacheField name="Points5" numFmtId="0">
      <sharedItems containsBlank="1" containsMixedTypes="1" containsNumber="1" minValue="1" maxValue="8"/>
    </cacheField>
    <cacheField name="Week 6" numFmtId="0">
      <sharedItems containsBlank="1" containsMixedTypes="1" containsNumber="1" minValue="-24" maxValue="42"/>
    </cacheField>
    <cacheField name="Points6" numFmtId="0">
      <sharedItems containsBlank="1" containsMixedTypes="1" containsNumber="1" minValue="1" maxValue="8"/>
    </cacheField>
    <cacheField name="Total" numFmtId="0">
      <sharedItems containsBlank="1" containsMixedTypes="1" containsNumber="1" minValue="9.5" maxValue="41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ea Riley (WB)" refreshedDate="46114.987934606484" createdVersion="6" refreshedVersion="8" minRefreshableVersion="3" recordCount="8" xr:uid="{00000000-000A-0000-FFFF-FFFF03000000}">
  <cacheSource type="worksheet">
    <worksheetSource ref="A13:N21" sheet="Tournament 3"/>
  </cacheSource>
  <cacheFields count="14">
    <cacheField name="Player" numFmtId="0">
      <sharedItems count="8">
        <s v="Cody"/>
        <s v="Jordan"/>
        <s v="Lindsay"/>
        <s v="Lance"/>
        <s v="Shea"/>
        <s v="Tim"/>
        <s v="Sonat"/>
        <s v="Jeremy"/>
      </sharedItems>
    </cacheField>
    <cacheField name="Week 1" numFmtId="1">
      <sharedItems containsSemiMixedTypes="0" containsString="0" containsNumber="1" minValue="-7.375" maxValue="49.708333333333336"/>
    </cacheField>
    <cacheField name="Points" numFmtId="0">
      <sharedItems containsSemiMixedTypes="0" containsString="0" containsNumber="1" containsInteger="1" minValue="1" maxValue="8"/>
    </cacheField>
    <cacheField name="Week 2" numFmtId="1">
      <sharedItems containsSemiMixedTypes="0" containsString="0" containsNumber="1" minValue="-7.375" maxValue="53.44318181818182"/>
    </cacheField>
    <cacheField name="Points2" numFmtId="0">
      <sharedItems containsSemiMixedTypes="0" containsString="0" containsNumber="1" minValue="1" maxValue="8"/>
    </cacheField>
    <cacheField name="Week 3" numFmtId="1">
      <sharedItems containsSemiMixedTypes="0" containsString="0" containsNumber="1" minValue="30.041666666666664" maxValue="46.325000000000003"/>
    </cacheField>
    <cacheField name="Points3" numFmtId="0">
      <sharedItems containsSemiMixedTypes="0" containsString="0" containsNumber="1" containsInteger="1" minValue="1" maxValue="8"/>
    </cacheField>
    <cacheField name="Week 4" numFmtId="1">
      <sharedItems containsSemiMixedTypes="0" containsString="0" containsNumber="1" minValue="37.240384615384613" maxValue="50.44318181818182"/>
    </cacheField>
    <cacheField name="Points4" numFmtId="0">
      <sharedItems containsSemiMixedTypes="0" containsString="0" containsNumber="1" minValue="1.5" maxValue="8"/>
    </cacheField>
    <cacheField name="Week 5" numFmtId="1">
      <sharedItems containsSemiMixedTypes="0" containsString="0" containsNumber="1" minValue="-7.4659090909090935" maxValue="36.240384615384613"/>
    </cacheField>
    <cacheField name="Points5" numFmtId="0">
      <sharedItems containsSemiMixedTypes="0" containsString="0" containsNumber="1" minValue="1" maxValue="7.5"/>
    </cacheField>
    <cacheField name="Week 6" numFmtId="1">
      <sharedItems containsSemiMixedTypes="0" containsString="0" containsNumber="1" minValue="-7.4659090909090935" maxValue="37.625"/>
    </cacheField>
    <cacheField name="Points6" numFmtId="0">
      <sharedItems containsSemiMixedTypes="0" containsString="0" containsNumber="1" minValue="1" maxValue="8"/>
    </cacheField>
    <cacheField name="Total" numFmtId="164">
      <sharedItems containsSemiMixedTypes="0" containsString="0" containsNumber="1" minValue="18" maxValue="41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ea Riley (WB)" refreshedDate="46114.987934837962" createdVersion="6" refreshedVersion="8" minRefreshableVersion="3" recordCount="8" xr:uid="{00000000-000A-0000-FFFF-FFFF02000000}">
  <cacheSource type="worksheet">
    <worksheetSource ref="A13:N21" sheet="Tournament 2"/>
  </cacheSource>
  <cacheFields count="14">
    <cacheField name="Player" numFmtId="0">
      <sharedItems count="8">
        <s v="Cody"/>
        <s v="Jordan"/>
        <s v="Lindsay"/>
        <s v="Lance"/>
        <s v="Shea"/>
        <s v="Tim"/>
        <s v="Sonat"/>
        <s v="Jeremy"/>
      </sharedItems>
    </cacheField>
    <cacheField name="Week 1" numFmtId="0">
      <sharedItems containsSemiMixedTypes="0" containsString="0" containsNumber="1" containsInteger="1" minValue="-25" maxValue="40"/>
    </cacheField>
    <cacheField name="Points" numFmtId="0">
      <sharedItems containsSemiMixedTypes="0" containsString="0" containsNumber="1" minValue="1" maxValue="8"/>
    </cacheField>
    <cacheField name="Week 2" numFmtId="164">
      <sharedItems containsSemiMixedTypes="0" containsString="0" containsNumber="1" containsInteger="1" minValue="-6" maxValue="48"/>
    </cacheField>
    <cacheField name="Points2" numFmtId="164">
      <sharedItems containsSemiMixedTypes="0" containsString="0" containsNumber="1" minValue="1" maxValue="8"/>
    </cacheField>
    <cacheField name="Week 3" numFmtId="0">
      <sharedItems containsSemiMixedTypes="0" containsString="0" containsNumber="1" containsInteger="1" minValue="-24" maxValue="37"/>
    </cacheField>
    <cacheField name="Points3" numFmtId="0">
      <sharedItems containsSemiMixedTypes="0" containsString="0" containsNumber="1" minValue="1" maxValue="8"/>
    </cacheField>
    <cacheField name="Week 4" numFmtId="0">
      <sharedItems containsSemiMixedTypes="0" containsString="0" containsNumber="1" containsInteger="1" minValue="26" maxValue="41"/>
    </cacheField>
    <cacheField name="Points4" numFmtId="0">
      <sharedItems containsSemiMixedTypes="0" containsString="0" containsNumber="1" minValue="1" maxValue="8"/>
    </cacheField>
    <cacheField name="Week 5" numFmtId="0">
      <sharedItems containsSemiMixedTypes="0" containsString="0" containsNumber="1" containsInteger="1" minValue="-24" maxValue="39"/>
    </cacheField>
    <cacheField name="Points5" numFmtId="0">
      <sharedItems containsSemiMixedTypes="0" containsString="0" containsNumber="1" containsInteger="1" minValue="1" maxValue="8"/>
    </cacheField>
    <cacheField name="Week 6" numFmtId="0">
      <sharedItems containsSemiMixedTypes="0" containsString="0" containsNumber="1" containsInteger="1" minValue="-24" maxValue="42"/>
    </cacheField>
    <cacheField name="Points6" numFmtId="0">
      <sharedItems containsSemiMixedTypes="0" containsString="0" containsNumber="1" containsInteger="1" minValue="1" maxValue="8"/>
    </cacheField>
    <cacheField name="Total" numFmtId="164">
      <sharedItems containsSemiMixedTypes="0" containsString="0" containsNumber="1" minValue="9.5" maxValue="32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ea Riley (WB)" refreshedDate="46114.987935069446" createdVersion="6" refreshedVersion="8" minRefreshableVersion="3" recordCount="8" xr:uid="{00000000-000A-0000-FFFF-FFFF01000000}">
  <cacheSource type="worksheet">
    <worksheetSource ref="A13:N21" sheet="Tournament 1"/>
  </cacheSource>
  <cacheFields count="14">
    <cacheField name="Player" numFmtId="0">
      <sharedItems count="8">
        <s v="Cody"/>
        <s v="Jordan"/>
        <s v="Lindsay"/>
        <s v="Lance"/>
        <s v="Shea"/>
        <s v="Tim"/>
        <s v="Sonat"/>
        <s v="Jeremy"/>
      </sharedItems>
    </cacheField>
    <cacheField name="Week 1" numFmtId="0">
      <sharedItems containsSemiMixedTypes="0" containsString="0" containsNumber="1" minValue="-23" maxValue="40"/>
    </cacheField>
    <cacheField name="Points" numFmtId="0">
      <sharedItems containsSemiMixedTypes="0" containsString="0" containsNumber="1" containsInteger="1" minValue="1" maxValue="8"/>
    </cacheField>
    <cacheField name="Week 2" numFmtId="164">
      <sharedItems containsSemiMixedTypes="0" containsString="0" containsNumber="1" minValue="-25.5" maxValue="41.5"/>
    </cacheField>
    <cacheField name="Points2" numFmtId="164">
      <sharedItems containsSemiMixedTypes="0" containsString="0" containsNumber="1" containsInteger="1" minValue="1" maxValue="8"/>
    </cacheField>
    <cacheField name="Week 3" numFmtId="0">
      <sharedItems containsSemiMixedTypes="0" containsString="0" containsNumber="1" minValue="-25.5" maxValue="38.5"/>
    </cacheField>
    <cacheField name="Points3" numFmtId="0">
      <sharedItems containsSemiMixedTypes="0" containsString="0" containsNumber="1" containsInteger="1" minValue="1" maxValue="8"/>
    </cacheField>
    <cacheField name="Week 4" numFmtId="0">
      <sharedItems containsSemiMixedTypes="0" containsString="0" containsNumber="1" minValue="-10.5" maxValue="38"/>
    </cacheField>
    <cacheField name="Points4" numFmtId="0">
      <sharedItems containsSemiMixedTypes="0" containsString="0" containsNumber="1" containsInteger="1" minValue="1" maxValue="8"/>
    </cacheField>
    <cacheField name="Week 5" numFmtId="0">
      <sharedItems containsSemiMixedTypes="0" containsString="0" containsNumber="1" minValue="-12.5" maxValue="47.5"/>
    </cacheField>
    <cacheField name="Points5" numFmtId="0">
      <sharedItems containsSemiMixedTypes="0" containsString="0" containsNumber="1" minValue="1" maxValue="8"/>
    </cacheField>
    <cacheField name="Week 6" numFmtId="0">
      <sharedItems containsSemiMixedTypes="0" containsString="0" containsNumber="1" minValue="-10.5" maxValue="34"/>
    </cacheField>
    <cacheField name="Points6" numFmtId="0">
      <sharedItems containsSemiMixedTypes="0" containsString="0" containsNumber="1" minValue="1" maxValue="8"/>
    </cacheField>
    <cacheField name="Total" numFmtId="164">
      <sharedItems containsSemiMixedTypes="0" containsString="0" containsNumber="1" containsInteger="1" minValue="15" maxValue="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ea Riley (WB)" refreshedDate="46114.987935300924" createdVersion="6" refreshedVersion="8" minRefreshableVersion="3" recordCount="8" xr:uid="{00000000-000A-0000-FFFF-FFFF00000000}">
  <cacheSource type="worksheet">
    <worksheetSource ref="A13:N21" sheet="Tournament 1 w adj"/>
  </cacheSource>
  <cacheFields count="14">
    <cacheField name="Player" numFmtId="0">
      <sharedItems count="8">
        <s v="Cody"/>
        <s v="Jordan"/>
        <s v="Lindsay"/>
        <s v="Lance"/>
        <s v="Shea"/>
        <s v="Tim"/>
        <s v="Sonat"/>
        <s v="Jeremy"/>
      </sharedItems>
    </cacheField>
    <cacheField name="Week 1" numFmtId="0">
      <sharedItems containsSemiMixedTypes="0" containsString="0" containsNumber="1" containsInteger="1" minValue="-25" maxValue="40"/>
    </cacheField>
    <cacheField name="Points" numFmtId="0">
      <sharedItems containsSemiMixedTypes="0" containsString="0" containsNumber="1" minValue="1" maxValue="8"/>
    </cacheField>
    <cacheField name="Week 2" numFmtId="164">
      <sharedItems containsSemiMixedTypes="0" containsString="0" containsNumber="1" containsInteger="1" minValue="-24" maxValue="38"/>
    </cacheField>
    <cacheField name="Points2" numFmtId="164">
      <sharedItems containsSemiMixedTypes="0" containsString="0" containsNumber="1" minValue="1" maxValue="8"/>
    </cacheField>
    <cacheField name="Week 3" numFmtId="0">
      <sharedItems containsSemiMixedTypes="0" containsString="0" containsNumber="1" containsInteger="1" minValue="-24" maxValue="36"/>
    </cacheField>
    <cacheField name="Points3" numFmtId="0">
      <sharedItems containsSemiMixedTypes="0" containsString="0" containsNumber="1" minValue="1" maxValue="8"/>
    </cacheField>
    <cacheField name="Week 4" numFmtId="0">
      <sharedItems containsSemiMixedTypes="0" containsString="0" containsNumber="1" containsInteger="1" minValue="-14" maxValue="39"/>
    </cacheField>
    <cacheField name="Points4" numFmtId="0">
      <sharedItems containsSemiMixedTypes="0" containsString="0" containsNumber="1" minValue="1" maxValue="8"/>
    </cacheField>
    <cacheField name="Week 5" numFmtId="0">
      <sharedItems containsSemiMixedTypes="0" containsString="0" containsNumber="1" containsInteger="1" minValue="-9" maxValue="44"/>
    </cacheField>
    <cacheField name="Points5" numFmtId="0">
      <sharedItems containsSemiMixedTypes="0" containsString="0" containsNumber="1" minValue="1" maxValue="8"/>
    </cacheField>
    <cacheField name="Week 6" numFmtId="0">
      <sharedItems containsSemiMixedTypes="0" containsString="0" containsNumber="1" containsInteger="1" minValue="-14" maxValue="35"/>
    </cacheField>
    <cacheField name="Points6" numFmtId="0">
      <sharedItems containsSemiMixedTypes="0" containsString="0" containsNumber="1" minValue="1" maxValue="8"/>
    </cacheField>
    <cacheField name="Total" numFmtId="164">
      <sharedItems containsSemiMixedTypes="0" containsString="0" containsNumber="1" minValue="19" maxValue="3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ea Riley (WB)" refreshedDate="46114.987935532408" createdVersion="8" refreshedVersion="8" minRefreshableVersion="3" recordCount="8" xr:uid="{F37E60EB-FBEE-457F-8CB0-4B790EFFE106}">
  <cacheSource type="worksheet">
    <worksheetSource ref="A13:N21" sheet="Tournament 1 (2026)"/>
  </cacheSource>
  <cacheFields count="14">
    <cacheField name="Player" numFmtId="0">
      <sharedItems count="8">
        <s v="Cody"/>
        <s v="Jeremy"/>
        <s v="Lance"/>
        <s v="Shea"/>
        <s v="Michael"/>
        <s v="Tim"/>
        <s v="Sonat"/>
        <s v="Lindsay"/>
      </sharedItems>
    </cacheField>
    <cacheField name="Week 1" numFmtId="0">
      <sharedItems containsSemiMixedTypes="0" containsString="0" containsNumber="1" minValue="32" maxValue="49.5"/>
    </cacheField>
    <cacheField name="Points" numFmtId="0">
      <sharedItems containsSemiMixedTypes="0" containsString="0" containsNumber="1" minValue="1" maxValue="8"/>
    </cacheField>
    <cacheField name="Week 2" numFmtId="164">
      <sharedItems containsSemiMixedTypes="0" containsString="0" containsNumber="1" minValue="34.5" maxValue="50"/>
    </cacheField>
    <cacheField name="Points2" numFmtId="164">
      <sharedItems containsSemiMixedTypes="0" containsString="0" containsNumber="1" containsInteger="1" minValue="1" maxValue="8"/>
    </cacheField>
    <cacheField name="Week 3" numFmtId="0">
      <sharedItems containsSemiMixedTypes="0" containsString="0" containsNumber="1" minValue="-4" maxValue="47.5"/>
    </cacheField>
    <cacheField name="Points3" numFmtId="0">
      <sharedItems containsSemiMixedTypes="0" containsString="0" containsNumber="1" containsInteger="1" minValue="1" maxValue="8"/>
    </cacheField>
    <cacheField name="Week 4" numFmtId="0">
      <sharedItems containsSemiMixedTypes="0" containsString="0" containsNumber="1" minValue="-4" maxValue="49"/>
    </cacheField>
    <cacheField name="Points4" numFmtId="0">
      <sharedItems containsSemiMixedTypes="0" containsString="0" containsNumber="1" containsInteger="1" minValue="1" maxValue="8"/>
    </cacheField>
    <cacheField name="Week 5" numFmtId="0">
      <sharedItems containsSemiMixedTypes="0" containsString="0" containsNumber="1" minValue="-4" maxValue="41"/>
    </cacheField>
    <cacheField name="Points5" numFmtId="0">
      <sharedItems containsSemiMixedTypes="0" containsString="0" containsNumber="1" containsInteger="1" minValue="1" maxValue="8"/>
    </cacheField>
    <cacheField name="Week 6" numFmtId="0">
      <sharedItems containsSemiMixedTypes="0" containsString="0" containsNumber="1" minValue="-4" maxValue="47.5"/>
    </cacheField>
    <cacheField name="Points6" numFmtId="0">
      <sharedItems containsSemiMixedTypes="0" containsString="0" containsNumber="1" minValue="1" maxValue="8"/>
    </cacheField>
    <cacheField name="Total" numFmtId="164">
      <sharedItems containsSemiMixedTypes="0" containsString="0" containsNumber="1" minValue="15" maxValue="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ea Riley (WB)" refreshedDate="46114.987935763886" createdVersion="8" refreshedVersion="8" minRefreshableVersion="3" recordCount="8" xr:uid="{DB9A9214-61AF-48A5-8C37-ADAEC11BED81}">
  <cacheSource type="worksheet">
    <worksheetSource ref="A13:N21" sheet="Tournament 2 (2026)"/>
  </cacheSource>
  <cacheFields count="14">
    <cacheField name="Player" numFmtId="0">
      <sharedItems count="8">
        <s v="Cody"/>
        <s v="Jeremy"/>
        <s v="Lance"/>
        <s v="Shea"/>
        <s v="Michael"/>
        <s v="Tim"/>
        <s v="Sonat"/>
        <s v="Lindsay"/>
      </sharedItems>
    </cacheField>
    <cacheField name="Week 1" numFmtId="1">
      <sharedItems containsSemiMixedTypes="0" containsString="0" containsNumber="1" minValue="-4" maxValue="39.25"/>
    </cacheField>
    <cacheField name="Points" numFmtId="164">
      <sharedItems containsSemiMixedTypes="0" containsString="0" containsNumber="1" minValue="1" maxValue="8"/>
    </cacheField>
    <cacheField name="Week 2" numFmtId="1">
      <sharedItems containsSemiMixedTypes="0" containsString="0" containsNumber="1" minValue="-4" maxValue="40.125"/>
    </cacheField>
    <cacheField name="Points2" numFmtId="0">
      <sharedItems containsSemiMixedTypes="0" containsString="0" containsNumber="1" minValue="1" maxValue="8"/>
    </cacheField>
    <cacheField name="Week 3" numFmtId="1">
      <sharedItems containsSemiMixedTypes="0" containsString="0" containsNumber="1" containsInteger="1" minValue="-4" maxValue="39"/>
    </cacheField>
    <cacheField name="Points3" numFmtId="164">
      <sharedItems containsSemiMixedTypes="0" containsString="0" containsNumber="1" minValue="1" maxValue="8"/>
    </cacheField>
    <cacheField name="Week 4" numFmtId="1">
      <sharedItems containsSemiMixedTypes="0" containsString="0" containsNumber="1" containsInteger="1" minValue="-4" maxValue="41"/>
    </cacheField>
    <cacheField name="Points4" numFmtId="1">
      <sharedItems containsSemiMixedTypes="0" containsString="0" containsNumber="1" containsInteger="1" minValue="1" maxValue="8"/>
    </cacheField>
    <cacheField name="Week 5" numFmtId="1">
      <sharedItems containsSemiMixedTypes="0" containsString="0" containsNumber="1" containsInteger="1" minValue="31" maxValue="38"/>
    </cacheField>
    <cacheField name="Points5" numFmtId="0">
      <sharedItems containsSemiMixedTypes="0" containsString="0" containsNumber="1" minValue="1" maxValue="8"/>
    </cacheField>
    <cacheField name="Week 6" numFmtId="1">
      <sharedItems containsSemiMixedTypes="0" containsString="0" containsNumber="1" containsInteger="1" minValue="-4" maxValue="36"/>
    </cacheField>
    <cacheField name="Points6" numFmtId="0">
      <sharedItems containsSemiMixedTypes="0" containsString="0" containsNumber="1" minValue="1" maxValue="8"/>
    </cacheField>
    <cacheField name="Total" numFmtId="164">
      <sharedItems containsSemiMixedTypes="0" containsString="0" containsNumber="1" minValue="6" maxValue="34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ea Riley (WB)" refreshedDate="46114.98793599537" createdVersion="8" refreshedVersion="8" minRefreshableVersion="3" recordCount="8" xr:uid="{A46EE3A3-7A91-4C7D-A02E-04CA216B2F36}">
  <cacheSource type="worksheet">
    <worksheetSource ref="A13:N21" sheet="Tournament 3 (2026)"/>
  </cacheSource>
  <cacheFields count="14">
    <cacheField name="Player" numFmtId="0">
      <sharedItems count="8">
        <s v="Cody"/>
        <s v="Jeremy"/>
        <s v="Lance"/>
        <s v="Shea"/>
        <s v="Michael"/>
        <s v="Tim"/>
        <s v="Sonat"/>
        <s v="Lindsay"/>
      </sharedItems>
    </cacheField>
    <cacheField name="Week 1" numFmtId="1">
      <sharedItems containsSemiMixedTypes="0" containsString="0" containsNumber="1" containsInteger="1" minValue="-5" maxValue="48"/>
    </cacheField>
    <cacheField name="Points" numFmtId="164">
      <sharedItems containsSemiMixedTypes="0" containsString="0" containsNumber="1" containsInteger="1" minValue="1" maxValue="8"/>
    </cacheField>
    <cacheField name="Week 2" numFmtId="1">
      <sharedItems containsSemiMixedTypes="0" containsString="0" containsNumber="1" containsInteger="1" minValue="33" maxValue="41"/>
    </cacheField>
    <cacheField name="Points2" numFmtId="0">
      <sharedItems containsSemiMixedTypes="0" containsString="0" containsNumber="1" minValue="1" maxValue="8"/>
    </cacheField>
    <cacheField name="Week 3" numFmtId="1">
      <sharedItems containsSemiMixedTypes="0" containsString="0" containsNumber="1" containsInteger="1" minValue="34" maxValue="40"/>
    </cacheField>
    <cacheField name="Points3" numFmtId="164">
      <sharedItems containsSemiMixedTypes="0" containsString="0" containsNumber="1" minValue="1" maxValue="8"/>
    </cacheField>
    <cacheField name="Week 4" numFmtId="1">
      <sharedItems containsSemiMixedTypes="0" containsString="0" containsNumber="1" containsInteger="1" minValue="31" maxValue="44"/>
    </cacheField>
    <cacheField name="Points4" numFmtId="164">
      <sharedItems containsSemiMixedTypes="0" containsString="0" containsNumber="1" minValue="1" maxValue="7.5"/>
    </cacheField>
    <cacheField name="Week 5" numFmtId="1">
      <sharedItems containsSemiMixedTypes="0" containsString="0" containsNumber="1" containsInteger="1" minValue="-21" maxValue="-5"/>
    </cacheField>
    <cacheField name="Points5" numFmtId="0">
      <sharedItems containsNonDate="0" containsString="0" containsBlank="1"/>
    </cacheField>
    <cacheField name="Week 6" numFmtId="1">
      <sharedItems containsSemiMixedTypes="0" containsString="0" containsNumber="1" containsInteger="1" minValue="-21" maxValue="-5"/>
    </cacheField>
    <cacheField name="Points6" numFmtId="0">
      <sharedItems containsNonDate="0" containsString="0" containsBlank="1"/>
    </cacheField>
    <cacheField name="Total" numFmtId="164">
      <sharedItems containsSemiMixedTypes="0" containsString="0" containsNumber="1" minValue="11.5" maxValue="2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ea Riley (WB)" refreshedDate="46114.987936226855" createdVersion="8" refreshedVersion="8" minRefreshableVersion="3" recordCount="30" xr:uid="{D63DDB0D-72BE-4F20-B935-D4C65B0B36F5}">
  <cacheSource type="worksheet">
    <worksheetSource ref="A13:N43" sheet="Leaderboard 2026"/>
  </cacheSource>
  <cacheFields count="14">
    <cacheField name="Player" numFmtId="0">
      <sharedItems containsBlank="1" count="12">
        <s v="Cody"/>
        <s v="Jeremy"/>
        <s v="Lance"/>
        <s v="Shea"/>
        <s v="Michael"/>
        <s v="Tim"/>
        <s v="Sonat"/>
        <s v="Lindsay"/>
        <m/>
        <s v="Tournament 2"/>
        <s v="Player"/>
        <s v="Tournament 3"/>
      </sharedItems>
    </cacheField>
    <cacheField name="Week 1" numFmtId="0">
      <sharedItems containsBlank="1" containsMixedTypes="1" containsNumber="1" minValue="-5" maxValue="49.5"/>
    </cacheField>
    <cacheField name="Points" numFmtId="0">
      <sharedItems containsBlank="1" containsMixedTypes="1" containsNumber="1" minValue="1" maxValue="8"/>
    </cacheField>
    <cacheField name="Week 2" numFmtId="0">
      <sharedItems containsBlank="1" containsMixedTypes="1" containsNumber="1" minValue="-4" maxValue="50"/>
    </cacheField>
    <cacheField name="Points2" numFmtId="0">
      <sharedItems containsBlank="1" containsMixedTypes="1" containsNumber="1" minValue="1" maxValue="8"/>
    </cacheField>
    <cacheField name="Week 3" numFmtId="0">
      <sharedItems containsBlank="1" containsMixedTypes="1" containsNumber="1" minValue="-4" maxValue="47.5"/>
    </cacheField>
    <cacheField name="Points3" numFmtId="0">
      <sharedItems containsBlank="1" containsMixedTypes="1" containsNumber="1" minValue="1" maxValue="8"/>
    </cacheField>
    <cacheField name="Week 4" numFmtId="0">
      <sharedItems containsBlank="1" containsMixedTypes="1" containsNumber="1" minValue="-4" maxValue="49"/>
    </cacheField>
    <cacheField name="Points4" numFmtId="0">
      <sharedItems containsBlank="1" containsMixedTypes="1" containsNumber="1" minValue="1" maxValue="8"/>
    </cacheField>
    <cacheField name="Week 5" numFmtId="0">
      <sharedItems containsBlank="1" containsMixedTypes="1" containsNumber="1" minValue="-4" maxValue="41"/>
    </cacheField>
    <cacheField name="Points5" numFmtId="0">
      <sharedItems containsBlank="1" containsMixedTypes="1" containsNumber="1" minValue="1" maxValue="8"/>
    </cacheField>
    <cacheField name="Week 6" numFmtId="0">
      <sharedItems containsBlank="1" containsMixedTypes="1" containsNumber="1" minValue="-4" maxValue="47.5"/>
    </cacheField>
    <cacheField name="Points6" numFmtId="0">
      <sharedItems containsBlank="1" containsMixedTypes="1" containsNumber="1" minValue="1" maxValue="8"/>
    </cacheField>
    <cacheField name="Total" numFmtId="0">
      <sharedItems containsBlank="1" containsMixedTypes="1" containsNumber="1" minValue="6" maxValue="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n v="38.5"/>
    <n v="3"/>
    <n v="-25.5"/>
    <n v="1"/>
    <n v="-25.5"/>
    <n v="1"/>
    <n v="34.5"/>
    <n v="6"/>
    <n v="27.5"/>
    <n v="8"/>
    <n v="30.5"/>
    <n v="7"/>
    <n v="26"/>
  </r>
  <r>
    <x v="1"/>
    <n v="32.5"/>
    <n v="6"/>
    <n v="41.5"/>
    <n v="2"/>
    <n v="38.5"/>
    <n v="2"/>
    <n v="-10.5"/>
    <n v="1"/>
    <n v="47.5"/>
    <n v="3"/>
    <n v="-10.5"/>
    <n v="1"/>
    <n v="15"/>
  </r>
  <r>
    <x v="2"/>
    <n v="36"/>
    <n v="5"/>
    <n v="37"/>
    <n v="5"/>
    <n v="32"/>
    <n v="4"/>
    <n v="35"/>
    <n v="5"/>
    <n v="34"/>
    <n v="5.5"/>
    <n v="34"/>
    <n v="2.5"/>
    <n v="27"/>
  </r>
  <r>
    <x v="3"/>
    <n v="40"/>
    <n v="2"/>
    <n v="39"/>
    <n v="4"/>
    <n v="38"/>
    <n v="3"/>
    <n v="38"/>
    <n v="2"/>
    <n v="34"/>
    <n v="5.5"/>
    <n v="34"/>
    <n v="2.5"/>
    <n v="19"/>
  </r>
  <r>
    <x v="4"/>
    <n v="31.5"/>
    <n v="7"/>
    <n v="29.5"/>
    <n v="8"/>
    <n v="25.5"/>
    <n v="8"/>
    <n v="28.5"/>
    <n v="8"/>
    <n v="-12.5"/>
    <n v="1"/>
    <n v="28.5"/>
    <n v="8"/>
    <n v="40"/>
  </r>
  <r>
    <x v="5"/>
    <n v="30"/>
    <n v="8"/>
    <n v="33"/>
    <n v="7"/>
    <n v="30"/>
    <n v="5"/>
    <n v="34"/>
    <n v="7"/>
    <n v="-12"/>
    <n v="1"/>
    <n v="32"/>
    <n v="5"/>
    <n v="33"/>
  </r>
  <r>
    <x v="6"/>
    <n v="36.5"/>
    <n v="4"/>
    <n v="33.5"/>
    <n v="6"/>
    <n v="26.5"/>
    <n v="7"/>
    <n v="37.5"/>
    <n v="4"/>
    <n v="30.5"/>
    <n v="7"/>
    <n v="32.5"/>
    <n v="4"/>
    <n v="32"/>
  </r>
  <r>
    <x v="7"/>
    <n v="-23"/>
    <n v="1"/>
    <n v="39"/>
    <n v="3"/>
    <n v="29"/>
    <n v="6"/>
    <n v="38"/>
    <n v="3"/>
    <n v="46"/>
    <n v="4"/>
    <n v="31"/>
    <n v="6"/>
    <n v="23"/>
  </r>
  <r>
    <x v="8"/>
    <m/>
    <m/>
    <m/>
    <m/>
    <m/>
    <m/>
    <m/>
    <m/>
    <m/>
    <m/>
    <m/>
    <m/>
    <m/>
  </r>
  <r>
    <x v="9"/>
    <m/>
    <m/>
    <m/>
    <m/>
    <m/>
    <m/>
    <m/>
    <m/>
    <m/>
    <m/>
    <m/>
    <m/>
    <m/>
  </r>
  <r>
    <x v="10"/>
    <s v="Week 1"/>
    <s v="Points"/>
    <s v="Week 2"/>
    <s v="Points"/>
    <s v="Week 3"/>
    <s v="Points"/>
    <s v="Week 4"/>
    <s v="Points"/>
    <s v="Week 5"/>
    <s v="Points"/>
    <s v="Week 6"/>
    <s v="Points"/>
    <s v="Total"/>
  </r>
  <r>
    <x v="0"/>
    <n v="40"/>
    <n v="2.5"/>
    <n v="39"/>
    <n v="3"/>
    <n v="31"/>
    <n v="5.5"/>
    <n v="36"/>
    <n v="3.5"/>
    <n v="34"/>
    <n v="5"/>
    <n v="37"/>
    <n v="6"/>
    <n v="25.5"/>
  </r>
  <r>
    <x v="1"/>
    <n v="35"/>
    <n v="6"/>
    <n v="27"/>
    <n v="8"/>
    <n v="37"/>
    <n v="3"/>
    <n v="33"/>
    <n v="6.5"/>
    <n v="-14"/>
    <n v="1"/>
    <n v="-14"/>
    <n v="1"/>
    <n v="25.5"/>
  </r>
  <r>
    <x v="2"/>
    <n v="40"/>
    <n v="2.5"/>
    <n v="-6"/>
    <n v="1"/>
    <n v="-6"/>
    <n v="1"/>
    <n v="41"/>
    <n v="1"/>
    <n v="39"/>
    <n v="3"/>
    <n v="-6"/>
    <n v="1"/>
    <n v="9.5"/>
  </r>
  <r>
    <x v="3"/>
    <n v="27"/>
    <n v="8"/>
    <n v="29"/>
    <n v="7"/>
    <n v="-24"/>
    <n v="1"/>
    <n v="26"/>
    <n v="8"/>
    <n v="-24"/>
    <n v="1"/>
    <n v="-24"/>
    <n v="1"/>
    <n v="26"/>
  </r>
  <r>
    <x v="4"/>
    <n v="37"/>
    <n v="4"/>
    <n v="32"/>
    <n v="6"/>
    <n v="30"/>
    <n v="7"/>
    <n v="33"/>
    <n v="6.5"/>
    <n v="37"/>
    <n v="4"/>
    <n v="39"/>
    <n v="5"/>
    <n v="32.5"/>
  </r>
  <r>
    <x v="5"/>
    <n v="29"/>
    <n v="7"/>
    <n v="33"/>
    <n v="4.5"/>
    <n v="32"/>
    <n v="4"/>
    <n v="37"/>
    <n v="2"/>
    <n v="31"/>
    <n v="6"/>
    <n v="33"/>
    <n v="8"/>
    <n v="31.5"/>
  </r>
  <r>
    <x v="6"/>
    <n v="36"/>
    <n v="5"/>
    <n v="33"/>
    <n v="4.5"/>
    <n v="31"/>
    <n v="5.5"/>
    <n v="36"/>
    <n v="3.5"/>
    <n v="29"/>
    <n v="8"/>
    <n v="42"/>
    <n v="4"/>
    <n v="30.5"/>
  </r>
  <r>
    <x v="7"/>
    <n v="-25"/>
    <n v="1"/>
    <n v="48"/>
    <n v="2"/>
    <n v="29"/>
    <n v="8"/>
    <n v="35"/>
    <n v="5"/>
    <n v="30"/>
    <n v="7"/>
    <n v="34"/>
    <n v="7"/>
    <n v="30"/>
  </r>
  <r>
    <x v="8"/>
    <m/>
    <m/>
    <m/>
    <m/>
    <m/>
    <m/>
    <m/>
    <m/>
    <m/>
    <m/>
    <m/>
    <m/>
    <m/>
  </r>
  <r>
    <x v="11"/>
    <m/>
    <m/>
    <m/>
    <m/>
    <m/>
    <m/>
    <m/>
    <m/>
    <m/>
    <m/>
    <m/>
    <m/>
    <m/>
  </r>
  <r>
    <x v="10"/>
    <s v="Week 1"/>
    <s v="Points"/>
    <s v="Week 2"/>
    <s v="Points"/>
    <s v="Week 3"/>
    <s v="Points"/>
    <s v="Week 4"/>
    <s v="Points"/>
    <s v="Week 5"/>
    <s v="Points"/>
    <s v="Week 6"/>
    <s v="Points"/>
    <s v="Total"/>
  </r>
  <r>
    <x v="0"/>
    <n v="49.708333333333336"/>
    <n v="2"/>
    <n v="38.708333333333336"/>
    <n v="3"/>
    <n v="34.708333333333336"/>
    <n v="6"/>
    <n v="47.708333333333336"/>
    <n v="3"/>
    <n v="29.708333333333336"/>
    <n v="6"/>
    <n v="34.708333333333336"/>
    <n v="4.5"/>
    <n v="24.5"/>
  </r>
  <r>
    <x v="1"/>
    <n v="43.325000000000003"/>
    <n v="4"/>
    <n v="31.325000000000003"/>
    <n v="7"/>
    <n v="46.325000000000003"/>
    <n v="1"/>
    <n v="50.325000000000003"/>
    <n v="1.5"/>
    <n v="31.325000000000003"/>
    <n v="5"/>
    <n v="36.325000000000003"/>
    <n v="3"/>
    <n v="21.5"/>
  </r>
  <r>
    <x v="2"/>
    <n v="36.534090909090907"/>
    <n v="6"/>
    <n v="35.534090909090907"/>
    <n v="4.5"/>
    <n v="35.534090909090907"/>
    <n v="5"/>
    <n v="40.534090909090907"/>
    <n v="5"/>
    <n v="-7.4659090909090935"/>
    <n v="1"/>
    <n v="-7.4659090909090935"/>
    <n v="1"/>
    <n v="22.5"/>
  </r>
  <r>
    <x v="3"/>
    <n v="36.44318181818182"/>
    <n v="7"/>
    <n v="53.44318181818182"/>
    <n v="2"/>
    <n v="31.44318181818182"/>
    <n v="7"/>
    <n v="50.44318181818182"/>
    <n v="1.5"/>
    <n v="34.44318181818182"/>
    <n v="3"/>
    <n v="35.44318181818182"/>
    <n v="4.5"/>
    <n v="25"/>
  </r>
  <r>
    <x v="4"/>
    <n v="-7.375"/>
    <n v="1"/>
    <n v="-7.375"/>
    <n v="1"/>
    <n v="36.625"/>
    <n v="4"/>
    <n v="38.625"/>
    <n v="6"/>
    <n v="31.625"/>
    <n v="4"/>
    <n v="37.625"/>
    <n v="2"/>
    <n v="18"/>
  </r>
  <r>
    <x v="5"/>
    <n v="35.240384615384613"/>
    <n v="8"/>
    <n v="36.240384615384613"/>
    <n v="4.5"/>
    <n v="40.240384615384613"/>
    <n v="2"/>
    <n v="37.240384615384613"/>
    <n v="8"/>
    <n v="36.240384615384613"/>
    <n v="2"/>
    <n v="31.240384615384613"/>
    <n v="7"/>
    <n v="31.5"/>
  </r>
  <r>
    <x v="6"/>
    <n v="38.767857142857146"/>
    <n v="5"/>
    <n v="34.767857142857146"/>
    <n v="6"/>
    <n v="38.767857142857146"/>
    <n v="3"/>
    <n v="41.767857142857146"/>
    <n v="4"/>
    <n v="26.767857142857146"/>
    <n v="7.5"/>
    <n v="31.767857142857146"/>
    <n v="6"/>
    <n v="31.5"/>
  </r>
  <r>
    <x v="7"/>
    <n v="47.041666666666664"/>
    <n v="3"/>
    <n v="27.041666666666664"/>
    <n v="8"/>
    <n v="30.041666666666664"/>
    <n v="8"/>
    <n v="38.041666666666664"/>
    <n v="7"/>
    <n v="27.041666666666664"/>
    <n v="7.5"/>
    <n v="28.041666666666664"/>
    <n v="8"/>
    <n v="41.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n v="49.708333333333336"/>
    <n v="2"/>
    <n v="38.708333333333336"/>
    <n v="3"/>
    <n v="34.708333333333336"/>
    <n v="6"/>
    <n v="47.708333333333336"/>
    <n v="3"/>
    <n v="29.708333333333336"/>
    <n v="6"/>
    <n v="34.708333333333336"/>
    <n v="4.5"/>
    <n v="24.5"/>
  </r>
  <r>
    <x v="1"/>
    <n v="43.325000000000003"/>
    <n v="4"/>
    <n v="31.325000000000003"/>
    <n v="7"/>
    <n v="46.325000000000003"/>
    <n v="1"/>
    <n v="50.325000000000003"/>
    <n v="1.5"/>
    <n v="31.325000000000003"/>
    <n v="5"/>
    <n v="36.325000000000003"/>
    <n v="3"/>
    <n v="21.5"/>
  </r>
  <r>
    <x v="2"/>
    <n v="36.534090909090907"/>
    <n v="6"/>
    <n v="35.534090909090907"/>
    <n v="4.5"/>
    <n v="35.534090909090907"/>
    <n v="5"/>
    <n v="40.534090909090907"/>
    <n v="5"/>
    <n v="-7.4659090909090935"/>
    <n v="1"/>
    <n v="-7.4659090909090935"/>
    <n v="1"/>
    <n v="22.5"/>
  </r>
  <r>
    <x v="3"/>
    <n v="36.44318181818182"/>
    <n v="7"/>
    <n v="53.44318181818182"/>
    <n v="2"/>
    <n v="31.44318181818182"/>
    <n v="7"/>
    <n v="50.44318181818182"/>
    <n v="1.5"/>
    <n v="34.44318181818182"/>
    <n v="3"/>
    <n v="35.44318181818182"/>
    <n v="4.5"/>
    <n v="25"/>
  </r>
  <r>
    <x v="4"/>
    <n v="-7.375"/>
    <n v="1"/>
    <n v="-7.375"/>
    <n v="1"/>
    <n v="36.625"/>
    <n v="4"/>
    <n v="38.625"/>
    <n v="6"/>
    <n v="31.625"/>
    <n v="4"/>
    <n v="37.625"/>
    <n v="2"/>
    <n v="18"/>
  </r>
  <r>
    <x v="5"/>
    <n v="35.240384615384613"/>
    <n v="8"/>
    <n v="36.240384615384613"/>
    <n v="4.5"/>
    <n v="40.240384615384613"/>
    <n v="2"/>
    <n v="37.240384615384613"/>
    <n v="8"/>
    <n v="36.240384615384613"/>
    <n v="2"/>
    <n v="31.240384615384613"/>
    <n v="7"/>
    <n v="31.5"/>
  </r>
  <r>
    <x v="6"/>
    <n v="38.767857142857146"/>
    <n v="5"/>
    <n v="34.767857142857146"/>
    <n v="6"/>
    <n v="38.767857142857146"/>
    <n v="3"/>
    <n v="41.767857142857146"/>
    <n v="4"/>
    <n v="26.767857142857146"/>
    <n v="7.5"/>
    <n v="31.767857142857146"/>
    <n v="6"/>
    <n v="31.5"/>
  </r>
  <r>
    <x v="7"/>
    <n v="47.041666666666664"/>
    <n v="3"/>
    <n v="27.041666666666664"/>
    <n v="8"/>
    <n v="30.041666666666664"/>
    <n v="8"/>
    <n v="38.041666666666664"/>
    <n v="7"/>
    <n v="27.041666666666664"/>
    <n v="7.5"/>
    <n v="28.041666666666664"/>
    <n v="8"/>
    <n v="41.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n v="40"/>
    <n v="2.5"/>
    <n v="39"/>
    <n v="3"/>
    <n v="31"/>
    <n v="5.5"/>
    <n v="36"/>
    <n v="3.5"/>
    <n v="34"/>
    <n v="5"/>
    <n v="37"/>
    <n v="6"/>
    <n v="25.5"/>
  </r>
  <r>
    <x v="1"/>
    <n v="35"/>
    <n v="6"/>
    <n v="27"/>
    <n v="8"/>
    <n v="37"/>
    <n v="3"/>
    <n v="33"/>
    <n v="6.5"/>
    <n v="-14"/>
    <n v="1"/>
    <n v="-14"/>
    <n v="1"/>
    <n v="25.5"/>
  </r>
  <r>
    <x v="2"/>
    <n v="40"/>
    <n v="2.5"/>
    <n v="-6"/>
    <n v="1"/>
    <n v="-6"/>
    <n v="1"/>
    <n v="41"/>
    <n v="1"/>
    <n v="39"/>
    <n v="3"/>
    <n v="-6"/>
    <n v="1"/>
    <n v="9.5"/>
  </r>
  <r>
    <x v="3"/>
    <n v="27"/>
    <n v="8"/>
    <n v="29"/>
    <n v="7"/>
    <n v="-24"/>
    <n v="1"/>
    <n v="26"/>
    <n v="8"/>
    <n v="-24"/>
    <n v="1"/>
    <n v="-24"/>
    <n v="1"/>
    <n v="26"/>
  </r>
  <r>
    <x v="4"/>
    <n v="37"/>
    <n v="4"/>
    <n v="32"/>
    <n v="6"/>
    <n v="30"/>
    <n v="7"/>
    <n v="33"/>
    <n v="6.5"/>
    <n v="37"/>
    <n v="4"/>
    <n v="39"/>
    <n v="5"/>
    <n v="32.5"/>
  </r>
  <r>
    <x v="5"/>
    <n v="29"/>
    <n v="7"/>
    <n v="33"/>
    <n v="4.5"/>
    <n v="32"/>
    <n v="4"/>
    <n v="37"/>
    <n v="2"/>
    <n v="31"/>
    <n v="6"/>
    <n v="33"/>
    <n v="8"/>
    <n v="31.5"/>
  </r>
  <r>
    <x v="6"/>
    <n v="36"/>
    <n v="5"/>
    <n v="33"/>
    <n v="4.5"/>
    <n v="31"/>
    <n v="5.5"/>
    <n v="36"/>
    <n v="3.5"/>
    <n v="29"/>
    <n v="8"/>
    <n v="42"/>
    <n v="4"/>
    <n v="30.5"/>
  </r>
  <r>
    <x v="7"/>
    <n v="-25"/>
    <n v="1"/>
    <n v="48"/>
    <n v="2"/>
    <n v="29"/>
    <n v="8"/>
    <n v="35"/>
    <n v="5"/>
    <n v="30"/>
    <n v="7"/>
    <n v="34"/>
    <n v="7"/>
    <n v="3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n v="38.5"/>
    <n v="3"/>
    <n v="-25.5"/>
    <n v="1"/>
    <n v="-25.5"/>
    <n v="1"/>
    <n v="34.5"/>
    <n v="6"/>
    <n v="27.5"/>
    <n v="8"/>
    <n v="30.5"/>
    <n v="7"/>
    <n v="26"/>
  </r>
  <r>
    <x v="1"/>
    <n v="32.5"/>
    <n v="6"/>
    <n v="41.5"/>
    <n v="2"/>
    <n v="38.5"/>
    <n v="2"/>
    <n v="-10.5"/>
    <n v="1"/>
    <n v="47.5"/>
    <n v="3"/>
    <n v="-10.5"/>
    <n v="1"/>
    <n v="15"/>
  </r>
  <r>
    <x v="2"/>
    <n v="36"/>
    <n v="5"/>
    <n v="37"/>
    <n v="5"/>
    <n v="32"/>
    <n v="4"/>
    <n v="35"/>
    <n v="5"/>
    <n v="34"/>
    <n v="5.5"/>
    <n v="34"/>
    <n v="2.5"/>
    <n v="27"/>
  </r>
  <r>
    <x v="3"/>
    <n v="40"/>
    <n v="2"/>
    <n v="39"/>
    <n v="4"/>
    <n v="38"/>
    <n v="3"/>
    <n v="38"/>
    <n v="2"/>
    <n v="34"/>
    <n v="5.5"/>
    <n v="34"/>
    <n v="2.5"/>
    <n v="19"/>
  </r>
  <r>
    <x v="4"/>
    <n v="31.5"/>
    <n v="7"/>
    <n v="29.5"/>
    <n v="8"/>
    <n v="25.5"/>
    <n v="8"/>
    <n v="28.5"/>
    <n v="8"/>
    <n v="-12.5"/>
    <n v="1"/>
    <n v="28.5"/>
    <n v="8"/>
    <n v="40"/>
  </r>
  <r>
    <x v="5"/>
    <n v="30"/>
    <n v="8"/>
    <n v="33"/>
    <n v="7"/>
    <n v="30"/>
    <n v="5"/>
    <n v="34"/>
    <n v="7"/>
    <n v="-12"/>
    <n v="1"/>
    <n v="32"/>
    <n v="5"/>
    <n v="33"/>
  </r>
  <r>
    <x v="6"/>
    <n v="36.5"/>
    <n v="4"/>
    <n v="33.5"/>
    <n v="6"/>
    <n v="26.5"/>
    <n v="7"/>
    <n v="37.5"/>
    <n v="4"/>
    <n v="30.5"/>
    <n v="7"/>
    <n v="32.5"/>
    <n v="4"/>
    <n v="32"/>
  </r>
  <r>
    <x v="7"/>
    <n v="-23"/>
    <n v="1"/>
    <n v="39"/>
    <n v="3"/>
    <n v="29"/>
    <n v="6"/>
    <n v="38"/>
    <n v="3"/>
    <n v="46"/>
    <n v="4"/>
    <n v="31"/>
    <n v="6"/>
    <n v="23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n v="40"/>
    <n v="2"/>
    <n v="-24"/>
    <n v="1"/>
    <n v="-24"/>
    <n v="1"/>
    <n v="36"/>
    <n v="6.5"/>
    <n v="29"/>
    <n v="8"/>
    <n v="32"/>
    <n v="6.5"/>
    <n v="25"/>
  </r>
  <r>
    <x v="1"/>
    <n v="29"/>
    <n v="8"/>
    <n v="38"/>
    <n v="2.5"/>
    <n v="35"/>
    <n v="3"/>
    <n v="-14"/>
    <n v="1"/>
    <n v="44"/>
    <n v="3.5"/>
    <n v="-14"/>
    <n v="1"/>
    <n v="19"/>
  </r>
  <r>
    <x v="2"/>
    <n v="37"/>
    <n v="5"/>
    <n v="38"/>
    <n v="2.5"/>
    <n v="33"/>
    <n v="4.5"/>
    <n v="36"/>
    <n v="6.5"/>
    <n v="35"/>
    <n v="5"/>
    <n v="35"/>
    <n v="2.5"/>
    <n v="26"/>
  </r>
  <r>
    <x v="3"/>
    <n v="38"/>
    <n v="3.5"/>
    <n v="37"/>
    <n v="4.5"/>
    <n v="36"/>
    <n v="2"/>
    <n v="36"/>
    <n v="6.5"/>
    <n v="32"/>
    <n v="6.5"/>
    <n v="32"/>
    <n v="6.5"/>
    <n v="29.5"/>
  </r>
  <r>
    <x v="4"/>
    <n v="36"/>
    <n v="6"/>
    <n v="34"/>
    <n v="8"/>
    <n v="30"/>
    <n v="6"/>
    <n v="33"/>
    <n v="8"/>
    <n v="-8"/>
    <n v="1"/>
    <n v="33"/>
    <n v="5"/>
    <n v="34"/>
  </r>
  <r>
    <x v="5"/>
    <n v="33"/>
    <n v="7"/>
    <n v="36"/>
    <n v="6"/>
    <n v="33"/>
    <n v="4.5"/>
    <n v="37"/>
    <n v="3"/>
    <n v="-9"/>
    <n v="1"/>
    <n v="35"/>
    <n v="2.5"/>
    <n v="24"/>
  </r>
  <r>
    <x v="6"/>
    <n v="38"/>
    <n v="3.5"/>
    <n v="35"/>
    <n v="7"/>
    <n v="28"/>
    <n v="7"/>
    <n v="39"/>
    <n v="2"/>
    <n v="32"/>
    <n v="6.5"/>
    <n v="34"/>
    <n v="4"/>
    <n v="30"/>
  </r>
  <r>
    <x v="7"/>
    <n v="-25"/>
    <n v="1"/>
    <n v="37"/>
    <n v="4.5"/>
    <n v="27"/>
    <n v="8"/>
    <n v="36"/>
    <n v="6.5"/>
    <n v="44"/>
    <n v="3.5"/>
    <n v="29"/>
    <n v="8"/>
    <n v="31.5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n v="37"/>
    <n v="5"/>
    <n v="39"/>
    <n v="4"/>
    <n v="40"/>
    <n v="5"/>
    <n v="45"/>
    <n v="3"/>
    <n v="35"/>
    <n v="6"/>
    <n v="38"/>
    <n v="5"/>
    <n v="28"/>
  </r>
  <r>
    <x v="1"/>
    <n v="49.5"/>
    <n v="1"/>
    <n v="40.5"/>
    <n v="2"/>
    <n v="47.5"/>
    <n v="2"/>
    <n v="42.5"/>
    <n v="5"/>
    <n v="40.5"/>
    <n v="3"/>
    <n v="47.5"/>
    <n v="2"/>
    <n v="15"/>
  </r>
  <r>
    <x v="2"/>
    <n v="32"/>
    <n v="8"/>
    <n v="50"/>
    <n v="1"/>
    <n v="44"/>
    <n v="4"/>
    <n v="49"/>
    <n v="2"/>
    <n v="38"/>
    <n v="5"/>
    <n v="42"/>
    <n v="3.5"/>
    <n v="23.5"/>
  </r>
  <r>
    <x v="3"/>
    <n v="36.5"/>
    <n v="6"/>
    <n v="34.5"/>
    <n v="8"/>
    <n v="31.5"/>
    <n v="8"/>
    <n v="35.5"/>
    <n v="8"/>
    <n v="34.5"/>
    <n v="7"/>
    <n v="36.5"/>
    <n v="6"/>
    <n v="43"/>
  </r>
  <r>
    <x v="4"/>
    <n v="38"/>
    <n v="3.5"/>
    <n v="37"/>
    <n v="5"/>
    <n v="38"/>
    <n v="7"/>
    <n v="39"/>
    <n v="6"/>
    <n v="41"/>
    <n v="2"/>
    <n v="42"/>
    <n v="3.5"/>
    <n v="27"/>
  </r>
  <r>
    <x v="5"/>
    <n v="39.5"/>
    <n v="2"/>
    <n v="35.5"/>
    <n v="7"/>
    <n v="39.5"/>
    <n v="6"/>
    <n v="37.5"/>
    <n v="7"/>
    <n v="38.5"/>
    <n v="4"/>
    <n v="35.5"/>
    <n v="7"/>
    <n v="33"/>
  </r>
  <r>
    <x v="6"/>
    <n v="38"/>
    <n v="3.5"/>
    <n v="40"/>
    <n v="3"/>
    <n v="46"/>
    <n v="3"/>
    <n v="43"/>
    <n v="4"/>
    <n v="34"/>
    <n v="8"/>
    <n v="34"/>
    <n v="8"/>
    <n v="29.5"/>
  </r>
  <r>
    <x v="7"/>
    <n v="36"/>
    <n v="7"/>
    <n v="36"/>
    <n v="6"/>
    <n v="-4"/>
    <n v="1"/>
    <n v="-4"/>
    <n v="1"/>
    <n v="-4"/>
    <n v="1"/>
    <n v="-4"/>
    <n v="1"/>
    <n v="17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n v="38"/>
    <n v="3"/>
    <n v="35"/>
    <n v="6"/>
    <n v="34"/>
    <n v="6"/>
    <n v="32"/>
    <n v="6"/>
    <n v="36"/>
    <n v="4"/>
    <n v="19"/>
    <n v="8"/>
    <n v="33"/>
  </r>
  <r>
    <x v="1"/>
    <n v="35"/>
    <n v="6.5"/>
    <n v="37"/>
    <n v="5"/>
    <n v="35"/>
    <n v="5"/>
    <n v="36"/>
    <n v="4"/>
    <n v="31"/>
    <n v="8"/>
    <n v="29"/>
    <n v="5.5"/>
    <n v="34"/>
  </r>
  <r>
    <x v="2"/>
    <n v="32.125"/>
    <n v="8"/>
    <n v="40.125"/>
    <n v="2.5"/>
    <n v="39"/>
    <n v="2"/>
    <n v="41"/>
    <n v="2"/>
    <n v="37"/>
    <n v="2.5"/>
    <n v="26"/>
    <n v="7"/>
    <n v="24"/>
  </r>
  <r>
    <x v="3"/>
    <n v="36.375"/>
    <n v="4.5"/>
    <n v="33.375"/>
    <n v="8"/>
    <n v="37"/>
    <n v="3.5"/>
    <n v="30"/>
    <n v="8"/>
    <n v="35"/>
    <n v="5"/>
    <n v="33"/>
    <n v="3"/>
    <n v="32"/>
  </r>
  <r>
    <x v="4"/>
    <n v="34.625"/>
    <n v="6.5"/>
    <n v="39.625"/>
    <n v="2.5"/>
    <n v="30"/>
    <n v="8"/>
    <n v="33"/>
    <n v="5"/>
    <n v="32"/>
    <n v="7"/>
    <n v="29"/>
    <n v="5.5"/>
    <n v="34.5"/>
  </r>
  <r>
    <x v="5"/>
    <n v="39.25"/>
    <n v="2"/>
    <n v="34.25"/>
    <n v="7"/>
    <n v="32"/>
    <n v="7"/>
    <n v="37"/>
    <n v="3"/>
    <n v="34"/>
    <n v="6"/>
    <n v="36"/>
    <n v="2"/>
    <n v="27"/>
  </r>
  <r>
    <x v="6"/>
    <n v="35.625"/>
    <n v="4.5"/>
    <n v="38.625"/>
    <n v="4"/>
    <n v="37"/>
    <n v="3.5"/>
    <n v="31"/>
    <n v="7"/>
    <n v="37"/>
    <n v="2.5"/>
    <n v="30"/>
    <n v="4"/>
    <n v="25.5"/>
  </r>
  <r>
    <x v="7"/>
    <n v="-4"/>
    <n v="1"/>
    <n v="-4"/>
    <n v="1"/>
    <n v="-4"/>
    <n v="1"/>
    <n v="-4"/>
    <n v="1"/>
    <n v="38"/>
    <n v="1"/>
    <n v="-4"/>
    <n v="1"/>
    <n v="6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n v="38"/>
    <n v="6"/>
    <n v="34"/>
    <n v="7"/>
    <n v="38"/>
    <n v="5.5"/>
    <n v="31"/>
    <n v="7.5"/>
    <n v="-21"/>
    <m/>
    <n v="-21"/>
    <m/>
    <n v="26"/>
  </r>
  <r>
    <x v="1"/>
    <n v="38"/>
    <n v="6"/>
    <n v="39"/>
    <n v="4"/>
    <n v="35"/>
    <n v="7"/>
    <n v="32"/>
    <n v="5.5"/>
    <n v="-20"/>
    <m/>
    <n v="-20"/>
    <m/>
    <n v="22.5"/>
  </r>
  <r>
    <x v="2"/>
    <n v="36"/>
    <n v="8"/>
    <n v="41"/>
    <n v="1"/>
    <n v="34"/>
    <n v="8"/>
    <n v="43"/>
    <n v="2"/>
    <n v="-18"/>
    <m/>
    <n v="-18"/>
    <m/>
    <n v="19"/>
  </r>
  <r>
    <x v="3"/>
    <n v="48"/>
    <n v="2"/>
    <n v="36"/>
    <n v="6"/>
    <n v="38"/>
    <n v="5.5"/>
    <n v="44"/>
    <n v="1"/>
    <n v="-5"/>
    <m/>
    <n v="-5"/>
    <m/>
    <n v="14.5"/>
  </r>
  <r>
    <x v="4"/>
    <n v="38"/>
    <n v="6"/>
    <n v="37"/>
    <n v="5"/>
    <n v="39"/>
    <n v="3"/>
    <n v="32"/>
    <n v="5.5"/>
    <n v="-7"/>
    <m/>
    <n v="-7"/>
    <m/>
    <n v="19.5"/>
  </r>
  <r>
    <x v="5"/>
    <n v="42"/>
    <n v="4"/>
    <n v="33"/>
    <n v="8"/>
    <n v="40"/>
    <n v="1"/>
    <n v="34"/>
    <n v="4"/>
    <n v="-7"/>
    <m/>
    <n v="-7"/>
    <m/>
    <n v="17"/>
  </r>
  <r>
    <x v="6"/>
    <n v="45"/>
    <n v="3"/>
    <n v="40"/>
    <n v="2.5"/>
    <n v="39"/>
    <n v="3"/>
    <n v="39"/>
    <n v="3"/>
    <n v="-7"/>
    <m/>
    <n v="-7"/>
    <m/>
    <n v="11.5"/>
  </r>
  <r>
    <x v="7"/>
    <n v="-5"/>
    <n v="1"/>
    <n v="40"/>
    <n v="2.5"/>
    <n v="39"/>
    <n v="3"/>
    <n v="31"/>
    <n v="7.5"/>
    <n v="-5"/>
    <m/>
    <n v="-5"/>
    <m/>
    <n v="14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n v="37"/>
    <n v="5"/>
    <n v="39"/>
    <n v="4"/>
    <n v="40"/>
    <n v="5"/>
    <n v="45"/>
    <n v="3"/>
    <n v="35"/>
    <n v="6"/>
    <n v="38"/>
    <n v="5"/>
    <n v="28"/>
  </r>
  <r>
    <x v="1"/>
    <n v="49.5"/>
    <n v="1"/>
    <n v="40.5"/>
    <n v="2"/>
    <n v="47.5"/>
    <n v="2"/>
    <n v="42.5"/>
    <n v="5"/>
    <n v="40.5"/>
    <n v="3"/>
    <n v="47.5"/>
    <n v="2"/>
    <n v="15"/>
  </r>
  <r>
    <x v="2"/>
    <n v="32"/>
    <n v="8"/>
    <n v="50"/>
    <n v="1"/>
    <n v="44"/>
    <n v="4"/>
    <n v="49"/>
    <n v="2"/>
    <n v="38"/>
    <n v="5"/>
    <n v="42"/>
    <n v="3.5"/>
    <n v="23.5"/>
  </r>
  <r>
    <x v="3"/>
    <n v="36.5"/>
    <n v="6"/>
    <n v="34.5"/>
    <n v="8"/>
    <n v="31.5"/>
    <n v="8"/>
    <n v="35.5"/>
    <n v="8"/>
    <n v="34.5"/>
    <n v="7"/>
    <n v="36.5"/>
    <n v="6"/>
    <n v="43"/>
  </r>
  <r>
    <x v="4"/>
    <n v="38"/>
    <n v="3.5"/>
    <n v="37"/>
    <n v="5"/>
    <n v="38"/>
    <n v="7"/>
    <n v="39"/>
    <n v="6"/>
    <n v="41"/>
    <n v="2"/>
    <n v="42"/>
    <n v="3.5"/>
    <n v="27"/>
  </r>
  <r>
    <x v="5"/>
    <n v="39.5"/>
    <n v="2"/>
    <n v="35.5"/>
    <n v="7"/>
    <n v="39.5"/>
    <n v="6"/>
    <n v="37.5"/>
    <n v="7"/>
    <n v="38.5"/>
    <n v="4"/>
    <n v="35.5"/>
    <n v="7"/>
    <n v="33"/>
  </r>
  <r>
    <x v="6"/>
    <n v="38"/>
    <n v="3.5"/>
    <n v="40"/>
    <n v="3"/>
    <n v="46"/>
    <n v="3"/>
    <n v="43"/>
    <n v="4"/>
    <n v="34"/>
    <n v="8"/>
    <n v="34"/>
    <n v="8"/>
    <n v="29.5"/>
  </r>
  <r>
    <x v="7"/>
    <n v="36"/>
    <n v="7"/>
    <n v="36"/>
    <n v="6"/>
    <n v="-4"/>
    <n v="1"/>
    <n v="-4"/>
    <n v="1"/>
    <n v="-4"/>
    <n v="1"/>
    <n v="-4"/>
    <n v="1"/>
    <n v="17"/>
  </r>
  <r>
    <x v="8"/>
    <m/>
    <m/>
    <m/>
    <m/>
    <m/>
    <m/>
    <m/>
    <m/>
    <m/>
    <m/>
    <m/>
    <m/>
    <m/>
  </r>
  <r>
    <x v="9"/>
    <m/>
    <m/>
    <m/>
    <m/>
    <m/>
    <m/>
    <m/>
    <m/>
    <m/>
    <m/>
    <m/>
    <m/>
    <m/>
  </r>
  <r>
    <x v="10"/>
    <s v="Week 1"/>
    <s v="Points"/>
    <s v="Week 2"/>
    <s v="Points"/>
    <s v="Week 3"/>
    <s v="Points"/>
    <s v="Week 4"/>
    <s v="Points"/>
    <s v="Week 5"/>
    <s v="Points"/>
    <s v="Week 6"/>
    <s v="Points"/>
    <s v="Total"/>
  </r>
  <r>
    <x v="0"/>
    <n v="38"/>
    <n v="3"/>
    <n v="35"/>
    <n v="6"/>
    <n v="34"/>
    <n v="6"/>
    <n v="32"/>
    <n v="6"/>
    <n v="36"/>
    <n v="4"/>
    <n v="19"/>
    <n v="8"/>
    <n v="33"/>
  </r>
  <r>
    <x v="1"/>
    <n v="35"/>
    <n v="6.5"/>
    <n v="37"/>
    <n v="5"/>
    <n v="35"/>
    <n v="5"/>
    <n v="36"/>
    <n v="4"/>
    <n v="31"/>
    <n v="8"/>
    <n v="29"/>
    <n v="5.5"/>
    <n v="34"/>
  </r>
  <r>
    <x v="2"/>
    <n v="32.125"/>
    <n v="8"/>
    <n v="40.125"/>
    <n v="2.5"/>
    <n v="39"/>
    <n v="2"/>
    <n v="41"/>
    <n v="2"/>
    <n v="37"/>
    <n v="2.5"/>
    <n v="26"/>
    <n v="7"/>
    <n v="24"/>
  </r>
  <r>
    <x v="3"/>
    <n v="36.375"/>
    <n v="4.5"/>
    <n v="33.375"/>
    <n v="8"/>
    <n v="37"/>
    <n v="3.5"/>
    <n v="30"/>
    <n v="8"/>
    <n v="35"/>
    <n v="5"/>
    <n v="33"/>
    <n v="3"/>
    <n v="32"/>
  </r>
  <r>
    <x v="4"/>
    <n v="34.625"/>
    <n v="6.5"/>
    <n v="39.625"/>
    <n v="2.5"/>
    <n v="30"/>
    <n v="8"/>
    <n v="33"/>
    <n v="5"/>
    <n v="32"/>
    <n v="7"/>
    <n v="29"/>
    <n v="5.5"/>
    <n v="34.5"/>
  </r>
  <r>
    <x v="5"/>
    <n v="39.25"/>
    <n v="2"/>
    <n v="34.25"/>
    <n v="7"/>
    <n v="32"/>
    <n v="7"/>
    <n v="37"/>
    <n v="3"/>
    <n v="34"/>
    <n v="6"/>
    <n v="36"/>
    <n v="2"/>
    <n v="27"/>
  </r>
  <r>
    <x v="6"/>
    <n v="35.625"/>
    <n v="4.5"/>
    <n v="38.625"/>
    <n v="4"/>
    <n v="37"/>
    <n v="3.5"/>
    <n v="31"/>
    <n v="7"/>
    <n v="37"/>
    <n v="2.5"/>
    <n v="30"/>
    <n v="4"/>
    <n v="25.5"/>
  </r>
  <r>
    <x v="7"/>
    <n v="-4"/>
    <n v="1"/>
    <n v="-4"/>
    <n v="1"/>
    <n v="-4"/>
    <n v="1"/>
    <n v="-4"/>
    <n v="1"/>
    <n v="38"/>
    <n v="1"/>
    <n v="-4"/>
    <n v="1"/>
    <n v="6"/>
  </r>
  <r>
    <x v="8"/>
    <m/>
    <m/>
    <m/>
    <m/>
    <m/>
    <m/>
    <m/>
    <m/>
    <m/>
    <m/>
    <m/>
    <m/>
    <m/>
  </r>
  <r>
    <x v="11"/>
    <m/>
    <m/>
    <m/>
    <m/>
    <m/>
    <m/>
    <m/>
    <m/>
    <m/>
    <m/>
    <m/>
    <m/>
    <m/>
  </r>
  <r>
    <x v="10"/>
    <s v="Week 1"/>
    <s v="Points"/>
    <s v="Week 2"/>
    <s v="Points"/>
    <s v="Week 3"/>
    <s v="Points"/>
    <s v="Week 4"/>
    <s v="Points"/>
    <s v="Week 5"/>
    <s v="Points"/>
    <s v="Week 6"/>
    <s v="Points"/>
    <s v="Total"/>
  </r>
  <r>
    <x v="0"/>
    <n v="38"/>
    <n v="6"/>
    <n v="34"/>
    <n v="7"/>
    <n v="38"/>
    <n v="5.5"/>
    <n v="0"/>
    <n v="7.5"/>
    <m/>
    <m/>
    <m/>
    <m/>
    <n v="26"/>
  </r>
  <r>
    <x v="1"/>
    <n v="38"/>
    <n v="6"/>
    <n v="39"/>
    <n v="4"/>
    <n v="35"/>
    <n v="7"/>
    <n v="0"/>
    <n v="5.5"/>
    <m/>
    <m/>
    <m/>
    <m/>
    <n v="22.5"/>
  </r>
  <r>
    <x v="2"/>
    <n v="36"/>
    <n v="8"/>
    <n v="41"/>
    <n v="1"/>
    <n v="34"/>
    <n v="8"/>
    <n v="0"/>
    <n v="2"/>
    <m/>
    <m/>
    <m/>
    <m/>
    <n v="19"/>
  </r>
  <r>
    <x v="3"/>
    <n v="48"/>
    <n v="2"/>
    <n v="36"/>
    <n v="6"/>
    <n v="38"/>
    <n v="5.5"/>
    <n v="0"/>
    <n v="1"/>
    <m/>
    <m/>
    <m/>
    <m/>
    <n v="14.5"/>
  </r>
  <r>
    <x v="4"/>
    <n v="38"/>
    <n v="6"/>
    <n v="37"/>
    <n v="5"/>
    <n v="39"/>
    <n v="3"/>
    <n v="0"/>
    <n v="5.5"/>
    <m/>
    <m/>
    <m/>
    <m/>
    <n v="19.5"/>
  </r>
  <r>
    <x v="5"/>
    <n v="42"/>
    <n v="4"/>
    <n v="33"/>
    <n v="8"/>
    <n v="40"/>
    <n v="1"/>
    <n v="0"/>
    <n v="4"/>
    <m/>
    <m/>
    <m/>
    <m/>
    <n v="17"/>
  </r>
  <r>
    <x v="6"/>
    <n v="45"/>
    <n v="3"/>
    <n v="40"/>
    <n v="2.5"/>
    <n v="39"/>
    <n v="3"/>
    <n v="0"/>
    <n v="3"/>
    <m/>
    <m/>
    <m/>
    <m/>
    <n v="11.5"/>
  </r>
  <r>
    <x v="7"/>
    <n v="-5"/>
    <n v="1"/>
    <n v="40"/>
    <n v="2.5"/>
    <n v="39"/>
    <n v="3"/>
    <n v="0"/>
    <n v="7.5"/>
    <m/>
    <m/>
    <m/>
    <m/>
    <n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2" cacheId="28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B12" firstHeaderRow="1" firstDataRow="1" firstDataCol="1"/>
  <pivotFields count="14">
    <pivotField axis="axisRow" showAll="0" sortType="descending">
      <items count="9">
        <item x="0"/>
        <item x="7"/>
        <item x="1"/>
        <item x="3"/>
        <item x="2"/>
        <item x="4"/>
        <item x="6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</pivotFields>
  <rowFields count="1">
    <field x="0"/>
  </rowFields>
  <rowItems count="9">
    <i>
      <x v="5"/>
    </i>
    <i>
      <x v="7"/>
    </i>
    <i>
      <x v="6"/>
    </i>
    <i>
      <x v="4"/>
    </i>
    <i>
      <x/>
    </i>
    <i>
      <x v="1"/>
    </i>
    <i>
      <x v="3"/>
    </i>
    <i>
      <x v="2"/>
    </i>
    <i t="grand">
      <x/>
    </i>
  </rowItems>
  <colItems count="1">
    <i/>
  </colItems>
  <dataFields count="1">
    <dataField name="Sum of Total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260B31-75AD-4B30-8C7F-CC7AB82936EB}" name="PivotTable1" cacheId="304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rowHeaderCaption="Player">
  <location ref="A1:B10" firstHeaderRow="1" firstDataRow="1" firstDataCol="1"/>
  <pivotFields count="14">
    <pivotField axis="axisRow" showAll="0" sortType="descending">
      <items count="13">
        <item x="0"/>
        <item x="1"/>
        <item x="2"/>
        <item x="7"/>
        <item x="3"/>
        <item x="6"/>
        <item x="5"/>
        <item h="1" x="8"/>
        <item h="1" x="9"/>
        <item h="1" x="10"/>
        <item h="1" x="1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</pivotFields>
  <rowFields count="1">
    <field x="0"/>
  </rowFields>
  <rowItems count="9">
    <i>
      <x v="4"/>
    </i>
    <i>
      <x/>
    </i>
    <i>
      <x v="11"/>
    </i>
    <i>
      <x v="6"/>
    </i>
    <i>
      <x v="1"/>
    </i>
    <i>
      <x v="2"/>
    </i>
    <i>
      <x v="5"/>
    </i>
    <i>
      <x v="3"/>
    </i>
    <i t="grand">
      <x/>
    </i>
  </rowItems>
  <colItems count="1">
    <i/>
  </colItems>
  <dataFields count="1">
    <dataField name="Sum of Total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88260E-C2A3-4008-B04E-4770DD4D0F58}" name="PivotTable3" cacheId="30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rowHeaderCaption="Player">
  <location ref="A1:B10" firstHeaderRow="1" firstDataRow="1" firstDataCol="1"/>
  <pivotFields count="14">
    <pivotField axis="axisRow" showAll="0" sortType="descending">
      <items count="9">
        <item x="0"/>
        <item x="1"/>
        <item x="2"/>
        <item x="7"/>
        <item x="3"/>
        <item x="6"/>
        <item x="5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</pivotFields>
  <rowFields count="1">
    <field x="0"/>
  </rowFields>
  <rowItems count="9">
    <i>
      <x/>
    </i>
    <i>
      <x v="1"/>
    </i>
    <i>
      <x v="7"/>
    </i>
    <i>
      <x v="2"/>
    </i>
    <i>
      <x v="6"/>
    </i>
    <i>
      <x v="4"/>
    </i>
    <i>
      <x v="3"/>
    </i>
    <i>
      <x v="5"/>
    </i>
    <i t="grand">
      <x/>
    </i>
  </rowItems>
  <colItems count="1">
    <i/>
  </colItems>
  <dataFields count="1">
    <dataField name="Sum of Total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4BFA12-492D-4BC7-A92B-90E03F53626C}" name="PivotTable3" cacheId="298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rowHeaderCaption="Player">
  <location ref="A1:B10" firstHeaderRow="1" firstDataRow="1" firstDataCol="1"/>
  <pivotFields count="14">
    <pivotField axis="axisRow" showAll="0" sortType="descending">
      <items count="9">
        <item x="0"/>
        <item x="1"/>
        <item x="2"/>
        <item x="7"/>
        <item x="3"/>
        <item x="6"/>
        <item x="5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</pivotFields>
  <rowFields count="1">
    <field x="0"/>
  </rowFields>
  <rowItems count="9">
    <i>
      <x v="7"/>
    </i>
    <i>
      <x v="1"/>
    </i>
    <i>
      <x/>
    </i>
    <i>
      <x v="4"/>
    </i>
    <i>
      <x v="6"/>
    </i>
    <i>
      <x v="5"/>
    </i>
    <i>
      <x v="2"/>
    </i>
    <i>
      <x v="3"/>
    </i>
    <i t="grand">
      <x/>
    </i>
  </rowItems>
  <colItems count="1">
    <i/>
  </colItems>
  <dataFields count="1">
    <dataField name="Sum of Total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5BF9AF-226A-48D3-87CE-F21F6DFA304A}" name="PivotTable3" cacheId="295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rowHeaderCaption="Player">
  <location ref="A1:B10" firstHeaderRow="1" firstDataRow="1" firstDataCol="1"/>
  <pivotFields count="14">
    <pivotField axis="axisRow" showAll="0" sortType="descending">
      <items count="9">
        <item x="0"/>
        <item x="1"/>
        <item x="2"/>
        <item x="7"/>
        <item x="3"/>
        <item x="6"/>
        <item x="5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</pivotFields>
  <rowFields count="1">
    <field x="0"/>
  </rowFields>
  <rowItems count="9">
    <i>
      <x v="4"/>
    </i>
    <i>
      <x v="6"/>
    </i>
    <i>
      <x v="5"/>
    </i>
    <i>
      <x/>
    </i>
    <i>
      <x v="7"/>
    </i>
    <i>
      <x v="2"/>
    </i>
    <i>
      <x v="3"/>
    </i>
    <i>
      <x v="1"/>
    </i>
    <i t="grand">
      <x/>
    </i>
  </rowItems>
  <colItems count="1">
    <i/>
  </colItems>
  <dataFields count="1">
    <dataField name="Sum of Total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28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rowHeaderCaption="Player">
  <location ref="A1:B10" firstHeaderRow="1" firstDataRow="1" firstDataCol="1"/>
  <pivotFields count="14">
    <pivotField axis="axisRow" showAll="0" sortType="descending">
      <items count="13">
        <item x="0"/>
        <item x="7"/>
        <item x="1"/>
        <item x="3"/>
        <item x="2"/>
        <item x="4"/>
        <item x="6"/>
        <item x="5"/>
        <item h="1" x="8"/>
        <item h="1" x="9"/>
        <item h="1" x="10"/>
        <item h="1"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</pivotFields>
  <rowFields count="1">
    <field x="0"/>
  </rowFields>
  <rowItems count="9">
    <i>
      <x v="7"/>
    </i>
    <i>
      <x v="1"/>
    </i>
    <i>
      <x v="6"/>
    </i>
    <i>
      <x v="5"/>
    </i>
    <i>
      <x/>
    </i>
    <i>
      <x v="3"/>
    </i>
    <i>
      <x v="2"/>
    </i>
    <i>
      <x v="4"/>
    </i>
    <i t="grand">
      <x/>
    </i>
  </rowItems>
  <colItems count="1">
    <i/>
  </colItems>
  <dataFields count="1">
    <dataField name="Sum of Total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3" cacheId="28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rowHeaderCaption="Player">
  <location ref="A1:B10" firstHeaderRow="1" firstDataRow="1" firstDataCol="1"/>
  <pivotFields count="14">
    <pivotField axis="axisRow" showAll="0" sortType="descending">
      <items count="9">
        <item x="0"/>
        <item x="7"/>
        <item x="1"/>
        <item x="3"/>
        <item x="2"/>
        <item x="4"/>
        <item x="6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</pivotFields>
  <rowFields count="1">
    <field x="0"/>
  </rowFields>
  <rowItems count="9">
    <i>
      <x v="5"/>
    </i>
    <i>
      <x v="7"/>
    </i>
    <i>
      <x v="6"/>
    </i>
    <i>
      <x v="4"/>
    </i>
    <i>
      <x/>
    </i>
    <i>
      <x v="1"/>
    </i>
    <i>
      <x v="3"/>
    </i>
    <i>
      <x v="2"/>
    </i>
    <i t="grand">
      <x/>
    </i>
  </rowItems>
  <colItems count="1">
    <i/>
  </colItems>
  <dataFields count="1">
    <dataField name="Sum of Total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5" cacheId="292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rowHeaderCaption="Player">
  <location ref="A1:B10" firstHeaderRow="1" firstDataRow="1" firstDataCol="1"/>
  <pivotFields count="14">
    <pivotField axis="axisRow" showAll="0" sortType="descending">
      <items count="9">
        <item x="0"/>
        <item x="7"/>
        <item x="1"/>
        <item x="3"/>
        <item x="2"/>
        <item x="4"/>
        <item x="6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</pivotFields>
  <rowFields count="1">
    <field x="0"/>
  </rowFields>
  <rowItems count="9">
    <i>
      <x v="5"/>
    </i>
    <i>
      <x v="1"/>
    </i>
    <i>
      <x v="6"/>
    </i>
    <i>
      <x v="3"/>
    </i>
    <i>
      <x v="4"/>
    </i>
    <i>
      <x/>
    </i>
    <i>
      <x v="7"/>
    </i>
    <i>
      <x v="2"/>
    </i>
    <i t="grand">
      <x/>
    </i>
  </rowItems>
  <colItems count="1">
    <i/>
  </colItems>
  <dataFields count="1">
    <dataField name="Sum of Total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PivotTable4" cacheId="286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rowHeaderCaption="Player">
  <location ref="A1:B10" firstHeaderRow="1" firstDataRow="1" firstDataCol="1"/>
  <pivotFields count="14">
    <pivotField axis="axisRow" showAll="0" sortType="descending">
      <items count="9">
        <item x="0"/>
        <item x="7"/>
        <item x="1"/>
        <item x="3"/>
        <item x="2"/>
        <item x="4"/>
        <item x="6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</pivotFields>
  <rowFields count="1">
    <field x="0"/>
  </rowFields>
  <rowItems count="9">
    <i>
      <x v="5"/>
    </i>
    <i>
      <x v="7"/>
    </i>
    <i>
      <x v="6"/>
    </i>
    <i>
      <x v="1"/>
    </i>
    <i>
      <x v="3"/>
    </i>
    <i>
      <x v="2"/>
    </i>
    <i>
      <x/>
    </i>
    <i>
      <x v="4"/>
    </i>
    <i t="grand">
      <x/>
    </i>
  </rowItems>
  <colItems count="1">
    <i/>
  </colItems>
  <dataFields count="1">
    <dataField name="Sum of Total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PivotTable4" cacheId="28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rowHeaderCaption="Player">
  <location ref="A1:B10" firstHeaderRow="1" firstDataRow="1" firstDataCol="1"/>
  <pivotFields count="14">
    <pivotField axis="axisRow" showAll="0" sortType="descending">
      <items count="9">
        <item x="0"/>
        <item x="7"/>
        <item x="1"/>
        <item x="3"/>
        <item x="2"/>
        <item x="4"/>
        <item x="6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</pivotFields>
  <rowFields count="1">
    <field x="0"/>
  </rowFields>
  <rowItems count="9">
    <i>
      <x v="1"/>
    </i>
    <i>
      <x v="6"/>
    </i>
    <i>
      <x v="7"/>
    </i>
    <i>
      <x v="3"/>
    </i>
    <i>
      <x/>
    </i>
    <i>
      <x v="4"/>
    </i>
    <i>
      <x v="2"/>
    </i>
    <i>
      <x v="5"/>
    </i>
    <i t="grand">
      <x/>
    </i>
  </rowItems>
  <colItems count="1">
    <i/>
  </colItems>
  <dataFields count="1">
    <dataField name="Sum of Total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pivotTable" Target="../pivotTables/pivotTable6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pivotTable" Target="../pivotTables/pivotTable7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pivotTable" Target="../pivotTables/pivotTable8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pivotTable" Target="../pivotTables/pivotTable9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pivotTable" Target="../pivotTables/pivotTable10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12"/>
  <sheetViews>
    <sheetView workbookViewId="0">
      <selection activeCell="A7" sqref="A7"/>
    </sheetView>
  </sheetViews>
  <sheetFormatPr defaultRowHeight="14.5" x14ac:dyDescent="0.35"/>
  <cols>
    <col min="1" max="1" width="12.36328125" bestFit="1" customWidth="1"/>
    <col min="2" max="2" width="11.36328125" bestFit="1" customWidth="1"/>
  </cols>
  <sheetData>
    <row r="3" spans="1:2" x14ac:dyDescent="0.35">
      <c r="A3" s="19" t="s">
        <v>41</v>
      </c>
      <c r="B3" t="s">
        <v>43</v>
      </c>
    </row>
    <row r="4" spans="1:2" x14ac:dyDescent="0.35">
      <c r="A4" s="20" t="s">
        <v>2</v>
      </c>
      <c r="B4">
        <v>40</v>
      </c>
    </row>
    <row r="5" spans="1:2" x14ac:dyDescent="0.35">
      <c r="A5" s="20" t="s">
        <v>3</v>
      </c>
      <c r="B5">
        <v>33</v>
      </c>
    </row>
    <row r="6" spans="1:2" x14ac:dyDescent="0.35">
      <c r="A6" s="20" t="s">
        <v>4</v>
      </c>
      <c r="B6">
        <v>32</v>
      </c>
    </row>
    <row r="7" spans="1:2" x14ac:dyDescent="0.35">
      <c r="A7" s="20" t="s">
        <v>7</v>
      </c>
      <c r="B7">
        <v>27</v>
      </c>
    </row>
    <row r="8" spans="1:2" x14ac:dyDescent="0.35">
      <c r="A8" s="20" t="s">
        <v>5</v>
      </c>
      <c r="B8">
        <v>26</v>
      </c>
    </row>
    <row r="9" spans="1:2" x14ac:dyDescent="0.35">
      <c r="A9" s="20" t="s">
        <v>8</v>
      </c>
      <c r="B9">
        <v>23</v>
      </c>
    </row>
    <row r="10" spans="1:2" x14ac:dyDescent="0.35">
      <c r="A10" s="20" t="s">
        <v>0</v>
      </c>
      <c r="B10">
        <v>19</v>
      </c>
    </row>
    <row r="11" spans="1:2" x14ac:dyDescent="0.35">
      <c r="A11" s="20" t="s">
        <v>6</v>
      </c>
      <c r="B11">
        <v>15</v>
      </c>
    </row>
    <row r="12" spans="1:2" x14ac:dyDescent="0.35">
      <c r="A12" s="20" t="s">
        <v>42</v>
      </c>
      <c r="B12">
        <v>215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A5832-6EC3-4F5E-A392-7236468771E3}">
  <dimension ref="A1:AI43"/>
  <sheetViews>
    <sheetView zoomScale="69" zoomScaleNormal="70" workbookViewId="0"/>
  </sheetViews>
  <sheetFormatPr defaultRowHeight="15" x14ac:dyDescent="0.35"/>
  <cols>
    <col min="1" max="1" width="10.7265625" bestFit="1" customWidth="1"/>
    <col min="2" max="2" width="11.36328125" bestFit="1" customWidth="1"/>
  </cols>
  <sheetData>
    <row r="1" spans="1:35" x14ac:dyDescent="0.35">
      <c r="A1" s="19" t="s">
        <v>1</v>
      </c>
      <c r="B1" t="s">
        <v>43</v>
      </c>
    </row>
    <row r="2" spans="1:35" x14ac:dyDescent="0.35">
      <c r="A2" s="20" t="s">
        <v>2</v>
      </c>
      <c r="B2">
        <v>89.5</v>
      </c>
    </row>
    <row r="3" spans="1:35" x14ac:dyDescent="0.35">
      <c r="A3" s="20" t="s">
        <v>5</v>
      </c>
      <c r="B3">
        <v>87</v>
      </c>
    </row>
    <row r="4" spans="1:35" x14ac:dyDescent="0.35">
      <c r="A4" s="20" t="s">
        <v>103</v>
      </c>
      <c r="B4">
        <v>81</v>
      </c>
    </row>
    <row r="5" spans="1:35" x14ac:dyDescent="0.35">
      <c r="A5" s="20" t="s">
        <v>3</v>
      </c>
      <c r="B5">
        <v>77</v>
      </c>
    </row>
    <row r="6" spans="1:35" x14ac:dyDescent="0.35">
      <c r="A6" s="20" t="s">
        <v>8</v>
      </c>
      <c r="B6">
        <v>71.5</v>
      </c>
    </row>
    <row r="7" spans="1:35" x14ac:dyDescent="0.35">
      <c r="A7" s="20" t="s">
        <v>0</v>
      </c>
      <c r="B7">
        <v>66.5</v>
      </c>
    </row>
    <row r="8" spans="1:35" x14ac:dyDescent="0.35">
      <c r="A8" s="20" t="s">
        <v>4</v>
      </c>
      <c r="B8">
        <v>66.5</v>
      </c>
    </row>
    <row r="9" spans="1:35" x14ac:dyDescent="0.35">
      <c r="A9" s="20" t="s">
        <v>7</v>
      </c>
      <c r="B9">
        <v>37</v>
      </c>
    </row>
    <row r="10" spans="1:35" x14ac:dyDescent="0.35">
      <c r="A10" s="20" t="s">
        <v>42</v>
      </c>
      <c r="B10">
        <v>576</v>
      </c>
    </row>
    <row r="12" spans="1:35" ht="14.5" x14ac:dyDescent="0.35">
      <c r="A12" s="44" t="s">
        <v>19</v>
      </c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P12" s="44" t="s">
        <v>37</v>
      </c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</row>
    <row r="13" spans="1:35" ht="14.5" x14ac:dyDescent="0.35">
      <c r="A13" s="1" t="s">
        <v>1</v>
      </c>
      <c r="B13" s="1" t="s">
        <v>12</v>
      </c>
      <c r="C13" s="1" t="s">
        <v>27</v>
      </c>
      <c r="D13" s="1" t="s">
        <v>13</v>
      </c>
      <c r="E13" s="1" t="s">
        <v>27</v>
      </c>
      <c r="F13" s="1" t="s">
        <v>23</v>
      </c>
      <c r="G13" s="1" t="s">
        <v>27</v>
      </c>
      <c r="H13" s="1" t="s">
        <v>24</v>
      </c>
      <c r="I13" s="1" t="s">
        <v>27</v>
      </c>
      <c r="J13" s="1" t="s">
        <v>25</v>
      </c>
      <c r="K13" s="1" t="s">
        <v>27</v>
      </c>
      <c r="L13" s="1" t="s">
        <v>26</v>
      </c>
      <c r="M13" s="1" t="s">
        <v>27</v>
      </c>
      <c r="N13" s="1" t="s">
        <v>9</v>
      </c>
      <c r="P13" s="1" t="s">
        <v>1</v>
      </c>
      <c r="Q13" s="1" t="s">
        <v>9</v>
      </c>
      <c r="R13" s="1" t="s">
        <v>12</v>
      </c>
      <c r="S13" s="1" t="s">
        <v>13</v>
      </c>
      <c r="T13" s="1" t="s">
        <v>23</v>
      </c>
      <c r="U13" s="1" t="s">
        <v>24</v>
      </c>
      <c r="V13" s="1" t="s">
        <v>25</v>
      </c>
      <c r="W13" s="1" t="s">
        <v>26</v>
      </c>
      <c r="X13" s="1" t="s">
        <v>51</v>
      </c>
      <c r="Y13" s="1" t="s">
        <v>52</v>
      </c>
      <c r="Z13" s="1" t="s">
        <v>77</v>
      </c>
      <c r="AA13" s="1" t="s">
        <v>78</v>
      </c>
      <c r="AB13" s="1" t="s">
        <v>79</v>
      </c>
      <c r="AC13" s="1" t="s">
        <v>80</v>
      </c>
      <c r="AD13" s="1" t="s">
        <v>81</v>
      </c>
      <c r="AE13" s="1" t="s">
        <v>82</v>
      </c>
      <c r="AF13" s="1" t="s">
        <v>90</v>
      </c>
      <c r="AG13" s="1" t="s">
        <v>91</v>
      </c>
      <c r="AH13" s="1" t="s">
        <v>92</v>
      </c>
      <c r="AI13" s="1" t="s">
        <v>93</v>
      </c>
    </row>
    <row r="14" spans="1:35" ht="14.5" x14ac:dyDescent="0.35">
      <c r="A14" s="1" t="s">
        <v>5</v>
      </c>
      <c r="B14" s="2">
        <v>37</v>
      </c>
      <c r="C14" s="2">
        <v>5</v>
      </c>
      <c r="D14" s="3">
        <v>39</v>
      </c>
      <c r="E14" s="3">
        <v>4</v>
      </c>
      <c r="F14" s="2">
        <v>40</v>
      </c>
      <c r="G14" s="2">
        <v>5</v>
      </c>
      <c r="H14" s="2">
        <v>45</v>
      </c>
      <c r="I14" s="2">
        <v>3</v>
      </c>
      <c r="J14" s="2">
        <v>35</v>
      </c>
      <c r="K14" s="2">
        <v>6</v>
      </c>
      <c r="L14" s="2">
        <v>38</v>
      </c>
      <c r="M14" s="2">
        <v>5</v>
      </c>
      <c r="N14" s="18">
        <v>28</v>
      </c>
      <c r="P14" s="1" t="s">
        <v>5</v>
      </c>
      <c r="Q14" s="1">
        <v>1</v>
      </c>
      <c r="R14" s="2" t="s">
        <v>40</v>
      </c>
      <c r="S14" s="2" t="s">
        <v>40</v>
      </c>
      <c r="T14" s="3" t="s">
        <v>40</v>
      </c>
      <c r="U14" s="3" t="s">
        <v>40</v>
      </c>
      <c r="V14" s="2" t="s">
        <v>40</v>
      </c>
      <c r="W14" s="10">
        <v>2.9</v>
      </c>
      <c r="X14" s="2" t="s">
        <v>40</v>
      </c>
      <c r="Y14" s="2" t="s">
        <v>40</v>
      </c>
      <c r="Z14" s="3" t="s">
        <v>40</v>
      </c>
      <c r="AA14" s="3" t="s">
        <v>40</v>
      </c>
      <c r="AB14" s="2" t="s">
        <v>40</v>
      </c>
      <c r="AC14" s="2" t="s">
        <v>40</v>
      </c>
      <c r="AD14" s="2"/>
      <c r="AE14" s="2"/>
      <c r="AF14" s="3"/>
      <c r="AG14" s="3"/>
      <c r="AH14" s="2"/>
      <c r="AI14" s="2"/>
    </row>
    <row r="15" spans="1:35" ht="14.5" x14ac:dyDescent="0.35">
      <c r="A15" s="1" t="s">
        <v>8</v>
      </c>
      <c r="B15" s="2">
        <v>49.5</v>
      </c>
      <c r="C15" s="2">
        <v>1</v>
      </c>
      <c r="D15" s="3">
        <v>40.5</v>
      </c>
      <c r="E15" s="3">
        <v>2</v>
      </c>
      <c r="F15" s="2">
        <v>47.5</v>
      </c>
      <c r="G15" s="2">
        <v>2</v>
      </c>
      <c r="H15" s="2">
        <v>42.5</v>
      </c>
      <c r="I15" s="2">
        <v>5</v>
      </c>
      <c r="J15" s="2">
        <v>40.5</v>
      </c>
      <c r="K15" s="2">
        <v>3</v>
      </c>
      <c r="L15" s="2">
        <v>47.5</v>
      </c>
      <c r="M15" s="2">
        <v>2</v>
      </c>
      <c r="N15" s="18">
        <v>15</v>
      </c>
      <c r="P15" s="1" t="s">
        <v>8</v>
      </c>
      <c r="Q15" s="1">
        <v>2</v>
      </c>
      <c r="R15" s="2">
        <v>9.5</v>
      </c>
      <c r="S15" s="2" t="s">
        <v>40</v>
      </c>
      <c r="T15" s="3" t="s">
        <v>40</v>
      </c>
      <c r="U15" s="3" t="s">
        <v>40</v>
      </c>
      <c r="V15" s="2" t="s">
        <v>40</v>
      </c>
      <c r="W15" s="2" t="s">
        <v>40</v>
      </c>
      <c r="X15" s="10">
        <v>14.8</v>
      </c>
      <c r="Y15" s="10">
        <v>13.6</v>
      </c>
      <c r="Z15" s="3" t="s">
        <v>40</v>
      </c>
      <c r="AA15" s="3" t="s">
        <v>40</v>
      </c>
      <c r="AB15" s="2" t="s">
        <v>40</v>
      </c>
      <c r="AC15" s="2" t="s">
        <v>40</v>
      </c>
      <c r="AD15" s="2"/>
      <c r="AE15" s="2"/>
      <c r="AF15" s="3"/>
      <c r="AG15" s="3"/>
      <c r="AH15" s="2"/>
      <c r="AI15" s="2"/>
    </row>
    <row r="16" spans="1:35" ht="14.5" x14ac:dyDescent="0.35">
      <c r="A16" s="1" t="s">
        <v>0</v>
      </c>
      <c r="B16" s="2">
        <v>32</v>
      </c>
      <c r="C16" s="2">
        <v>8</v>
      </c>
      <c r="D16" s="3">
        <v>50</v>
      </c>
      <c r="E16" s="3">
        <v>1</v>
      </c>
      <c r="F16" s="2">
        <v>44</v>
      </c>
      <c r="G16" s="2">
        <v>4</v>
      </c>
      <c r="H16" s="2">
        <v>49</v>
      </c>
      <c r="I16" s="2">
        <v>2</v>
      </c>
      <c r="J16" s="2">
        <v>38</v>
      </c>
      <c r="K16" s="2">
        <v>5</v>
      </c>
      <c r="L16" s="2">
        <v>42</v>
      </c>
      <c r="M16" s="2">
        <v>3.5</v>
      </c>
      <c r="N16" s="18">
        <v>23.5</v>
      </c>
      <c r="P16" s="1" t="s">
        <v>0</v>
      </c>
      <c r="Q16" s="1">
        <v>0</v>
      </c>
      <c r="R16" s="2">
        <v>7.9</v>
      </c>
      <c r="S16" s="2" t="s">
        <v>40</v>
      </c>
      <c r="T16" s="3" t="s">
        <v>40</v>
      </c>
      <c r="U16" s="3" t="s">
        <v>40</v>
      </c>
      <c r="V16" s="2" t="s">
        <v>40</v>
      </c>
      <c r="W16" s="2" t="s">
        <v>40</v>
      </c>
      <c r="X16" s="2" t="s">
        <v>40</v>
      </c>
      <c r="Y16" s="2" t="s">
        <v>40</v>
      </c>
      <c r="Z16" s="3" t="s">
        <v>40</v>
      </c>
      <c r="AA16" s="3" t="s">
        <v>40</v>
      </c>
      <c r="AB16" s="2" t="s">
        <v>40</v>
      </c>
      <c r="AC16" s="2" t="s">
        <v>40</v>
      </c>
      <c r="AD16" s="2"/>
      <c r="AE16" s="2"/>
      <c r="AF16" s="3"/>
      <c r="AG16" s="3"/>
      <c r="AH16" s="2"/>
      <c r="AI16" s="2"/>
    </row>
    <row r="17" spans="1:35" ht="14.5" x14ac:dyDescent="0.35">
      <c r="A17" s="1" t="s">
        <v>2</v>
      </c>
      <c r="B17" s="2">
        <v>36.5</v>
      </c>
      <c r="C17" s="2">
        <v>6</v>
      </c>
      <c r="D17" s="3">
        <v>34.5</v>
      </c>
      <c r="E17" s="3">
        <v>8</v>
      </c>
      <c r="F17" s="2">
        <v>31.5</v>
      </c>
      <c r="G17" s="2">
        <v>8</v>
      </c>
      <c r="H17" s="2">
        <v>35.5</v>
      </c>
      <c r="I17" s="2">
        <v>8</v>
      </c>
      <c r="J17" s="2">
        <v>34.5</v>
      </c>
      <c r="K17" s="2">
        <v>7</v>
      </c>
      <c r="L17" s="2">
        <v>36.5</v>
      </c>
      <c r="M17" s="2">
        <v>6</v>
      </c>
      <c r="N17" s="18">
        <v>43</v>
      </c>
      <c r="P17" s="1" t="s">
        <v>2</v>
      </c>
      <c r="Q17" s="1">
        <v>2</v>
      </c>
      <c r="R17" s="10">
        <v>3.5</v>
      </c>
      <c r="S17" s="2" t="s">
        <v>40</v>
      </c>
      <c r="T17" s="3" t="s">
        <v>40</v>
      </c>
      <c r="U17" s="3" t="s">
        <v>40</v>
      </c>
      <c r="V17" s="2">
        <v>6.6</v>
      </c>
      <c r="W17" s="2" t="s">
        <v>40</v>
      </c>
      <c r="X17" s="2" t="s">
        <v>40</v>
      </c>
      <c r="Y17" s="2" t="s">
        <v>40</v>
      </c>
      <c r="Z17" s="3" t="s">
        <v>40</v>
      </c>
      <c r="AA17" s="3" t="s">
        <v>40</v>
      </c>
      <c r="AB17" s="2" t="s">
        <v>40</v>
      </c>
      <c r="AC17" s="10">
        <v>3.1</v>
      </c>
      <c r="AD17" s="2"/>
      <c r="AE17" s="2"/>
      <c r="AF17" s="3"/>
      <c r="AG17" s="3"/>
      <c r="AH17" s="2"/>
      <c r="AI17" s="2"/>
    </row>
    <row r="18" spans="1:35" ht="14.5" x14ac:dyDescent="0.35">
      <c r="A18" s="1" t="s">
        <v>103</v>
      </c>
      <c r="B18" s="2">
        <v>38</v>
      </c>
      <c r="C18" s="2">
        <v>3.5</v>
      </c>
      <c r="D18" s="3">
        <v>37</v>
      </c>
      <c r="E18" s="3">
        <v>5</v>
      </c>
      <c r="F18" s="2">
        <v>38</v>
      </c>
      <c r="G18" s="2">
        <v>7</v>
      </c>
      <c r="H18" s="2">
        <v>39</v>
      </c>
      <c r="I18" s="2">
        <v>6</v>
      </c>
      <c r="J18" s="2">
        <v>41</v>
      </c>
      <c r="K18" s="2">
        <v>2</v>
      </c>
      <c r="L18" s="2">
        <v>42</v>
      </c>
      <c r="M18" s="2">
        <v>3.5</v>
      </c>
      <c r="N18" s="18">
        <v>27</v>
      </c>
      <c r="P18" s="1" t="s">
        <v>103</v>
      </c>
      <c r="Q18" s="1">
        <v>2</v>
      </c>
      <c r="R18" s="2" t="s">
        <v>40</v>
      </c>
      <c r="S18" s="2" t="s">
        <v>40</v>
      </c>
      <c r="T18" s="3" t="s">
        <v>40</v>
      </c>
      <c r="U18" s="21">
        <v>14.8</v>
      </c>
      <c r="V18" s="2" t="s">
        <v>40</v>
      </c>
      <c r="W18" s="2">
        <v>6.3</v>
      </c>
      <c r="X18" s="2" t="s">
        <v>40</v>
      </c>
      <c r="Y18" s="2" t="s">
        <v>40</v>
      </c>
      <c r="Z18" s="21">
        <v>5</v>
      </c>
      <c r="AA18" s="3" t="s">
        <v>40</v>
      </c>
      <c r="AB18" s="2" t="s">
        <v>40</v>
      </c>
      <c r="AC18" s="2" t="s">
        <v>40</v>
      </c>
      <c r="AD18" s="2"/>
      <c r="AE18" s="2"/>
      <c r="AF18" s="3"/>
      <c r="AG18" s="3"/>
      <c r="AH18" s="2"/>
      <c r="AI18" s="2"/>
    </row>
    <row r="19" spans="1:35" ht="14.5" x14ac:dyDescent="0.35">
      <c r="A19" s="1" t="s">
        <v>3</v>
      </c>
      <c r="B19" s="2">
        <v>39.5</v>
      </c>
      <c r="C19" s="2">
        <v>2</v>
      </c>
      <c r="D19" s="3">
        <v>35.5</v>
      </c>
      <c r="E19" s="3">
        <v>7</v>
      </c>
      <c r="F19" s="2">
        <v>39.5</v>
      </c>
      <c r="G19" s="2">
        <v>6</v>
      </c>
      <c r="H19" s="2">
        <v>37.5</v>
      </c>
      <c r="I19" s="2">
        <v>7</v>
      </c>
      <c r="J19" s="2">
        <v>38.5</v>
      </c>
      <c r="K19" s="2">
        <v>4</v>
      </c>
      <c r="L19" s="2">
        <v>35.5</v>
      </c>
      <c r="M19" s="2">
        <v>7</v>
      </c>
      <c r="N19" s="18">
        <v>33</v>
      </c>
      <c r="P19" s="1" t="s">
        <v>3</v>
      </c>
      <c r="Q19" s="1">
        <v>2</v>
      </c>
      <c r="R19" s="2" t="s">
        <v>40</v>
      </c>
      <c r="S19" s="3">
        <v>9.9</v>
      </c>
      <c r="T19" s="21">
        <v>8.5</v>
      </c>
      <c r="U19" s="3" t="s">
        <v>40</v>
      </c>
      <c r="V19" s="2" t="s">
        <v>40</v>
      </c>
      <c r="W19" s="2" t="s">
        <v>40</v>
      </c>
      <c r="X19" s="2" t="s">
        <v>40</v>
      </c>
      <c r="Y19" s="3" t="s">
        <v>40</v>
      </c>
      <c r="Z19" s="3" t="s">
        <v>40</v>
      </c>
      <c r="AA19" s="3" t="s">
        <v>40</v>
      </c>
      <c r="AB19" s="10">
        <v>4.8</v>
      </c>
      <c r="AC19" s="2" t="s">
        <v>40</v>
      </c>
      <c r="AD19" s="2"/>
      <c r="AE19" s="3"/>
      <c r="AF19" s="3"/>
      <c r="AG19" s="3"/>
      <c r="AH19" s="2"/>
      <c r="AI19" s="2"/>
    </row>
    <row r="20" spans="1:35" ht="14.5" x14ac:dyDescent="0.35">
      <c r="A20" s="1" t="s">
        <v>4</v>
      </c>
      <c r="B20" s="2">
        <v>38</v>
      </c>
      <c r="C20" s="2">
        <v>3.5</v>
      </c>
      <c r="D20" s="3">
        <v>40</v>
      </c>
      <c r="E20" s="3">
        <v>3</v>
      </c>
      <c r="F20" s="2">
        <v>46</v>
      </c>
      <c r="G20" s="2">
        <v>3</v>
      </c>
      <c r="H20" s="2">
        <v>43</v>
      </c>
      <c r="I20" s="2">
        <v>4</v>
      </c>
      <c r="J20" s="2">
        <v>34</v>
      </c>
      <c r="K20" s="2">
        <v>8</v>
      </c>
      <c r="L20" s="2">
        <v>34</v>
      </c>
      <c r="M20" s="2">
        <v>8</v>
      </c>
      <c r="N20" s="18">
        <v>29.5</v>
      </c>
      <c r="P20" s="1" t="s">
        <v>4</v>
      </c>
      <c r="Q20" s="1">
        <v>2</v>
      </c>
      <c r="R20" s="2">
        <v>10.199999999999999</v>
      </c>
      <c r="S20" s="2" t="s">
        <v>40</v>
      </c>
      <c r="T20" s="3">
        <v>11.5</v>
      </c>
      <c r="U20" s="3">
        <v>14.8</v>
      </c>
      <c r="V20" s="10">
        <v>2.9</v>
      </c>
      <c r="W20" s="2" t="s">
        <v>40</v>
      </c>
      <c r="X20" s="2" t="s">
        <v>40</v>
      </c>
      <c r="Y20" s="2" t="s">
        <v>40</v>
      </c>
      <c r="Z20" s="3" t="s">
        <v>40</v>
      </c>
      <c r="AA20" s="21">
        <v>6.6</v>
      </c>
      <c r="AB20" s="2">
        <v>4.9000000000000004</v>
      </c>
      <c r="AC20" s="2" t="s">
        <v>40</v>
      </c>
      <c r="AD20" s="2"/>
      <c r="AE20" s="2"/>
      <c r="AF20" s="3"/>
      <c r="AG20" s="3"/>
      <c r="AH20" s="2"/>
      <c r="AI20" s="2"/>
    </row>
    <row r="21" spans="1:35" ht="14.5" x14ac:dyDescent="0.35">
      <c r="A21" s="1" t="s">
        <v>7</v>
      </c>
      <c r="B21" s="2">
        <v>36</v>
      </c>
      <c r="C21" s="2">
        <v>7</v>
      </c>
      <c r="D21" s="3">
        <v>36</v>
      </c>
      <c r="E21" s="3">
        <v>6</v>
      </c>
      <c r="F21" s="2">
        <v>-4</v>
      </c>
      <c r="G21" s="2">
        <v>1</v>
      </c>
      <c r="H21" s="2">
        <v>-4</v>
      </c>
      <c r="I21" s="2">
        <v>1</v>
      </c>
      <c r="J21" s="2">
        <v>-4</v>
      </c>
      <c r="K21" s="2">
        <v>1</v>
      </c>
      <c r="L21" s="2">
        <v>-4</v>
      </c>
      <c r="M21" s="2">
        <v>1</v>
      </c>
      <c r="N21" s="18">
        <v>17</v>
      </c>
      <c r="P21" s="1" t="s">
        <v>7</v>
      </c>
      <c r="Q21" s="1">
        <v>1</v>
      </c>
      <c r="R21" s="2">
        <v>17.399999999999999</v>
      </c>
      <c r="S21" s="10">
        <v>1.7</v>
      </c>
      <c r="T21" s="3" t="s">
        <v>40</v>
      </c>
      <c r="U21" s="3" t="s">
        <v>40</v>
      </c>
      <c r="V21" s="2" t="s">
        <v>40</v>
      </c>
      <c r="W21" s="2">
        <v>9.3000000000000007</v>
      </c>
      <c r="X21" s="2" t="s">
        <v>40</v>
      </c>
      <c r="Y21" s="2" t="s">
        <v>40</v>
      </c>
      <c r="Z21" s="3" t="s">
        <v>40</v>
      </c>
      <c r="AA21" s="3" t="s">
        <v>40</v>
      </c>
      <c r="AB21" s="2" t="s">
        <v>40</v>
      </c>
      <c r="AC21" s="2" t="s">
        <v>40</v>
      </c>
      <c r="AD21" s="2"/>
      <c r="AE21" s="2"/>
      <c r="AF21" s="3"/>
      <c r="AG21" s="3"/>
      <c r="AH21" s="2"/>
      <c r="AI21" s="2"/>
    </row>
    <row r="23" spans="1:35" ht="14.5" x14ac:dyDescent="0.35">
      <c r="A23" s="44" t="s">
        <v>59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</row>
    <row r="24" spans="1:35" ht="14.5" x14ac:dyDescent="0.35">
      <c r="A24" s="1" t="s">
        <v>1</v>
      </c>
      <c r="B24" s="1" t="s">
        <v>12</v>
      </c>
      <c r="C24" s="1" t="s">
        <v>27</v>
      </c>
      <c r="D24" s="1" t="s">
        <v>13</v>
      </c>
      <c r="E24" s="1" t="s">
        <v>27</v>
      </c>
      <c r="F24" s="1" t="s">
        <v>23</v>
      </c>
      <c r="G24" s="1" t="s">
        <v>27</v>
      </c>
      <c r="H24" s="1" t="s">
        <v>24</v>
      </c>
      <c r="I24" s="1" t="s">
        <v>27</v>
      </c>
      <c r="J24" s="1" t="s">
        <v>25</v>
      </c>
      <c r="K24" s="1" t="s">
        <v>27</v>
      </c>
      <c r="L24" s="1" t="s">
        <v>26</v>
      </c>
      <c r="M24" s="1" t="s">
        <v>27</v>
      </c>
      <c r="N24" s="1" t="s">
        <v>9</v>
      </c>
    </row>
    <row r="25" spans="1:35" ht="14.5" x14ac:dyDescent="0.35">
      <c r="A25" s="1" t="s">
        <v>5</v>
      </c>
      <c r="B25" s="33">
        <v>38</v>
      </c>
      <c r="C25" s="2">
        <v>3</v>
      </c>
      <c r="D25" s="33">
        <v>35</v>
      </c>
      <c r="E25" s="3">
        <v>6</v>
      </c>
      <c r="F25" s="2">
        <v>34</v>
      </c>
      <c r="G25" s="2">
        <v>6</v>
      </c>
      <c r="H25" s="2">
        <v>32</v>
      </c>
      <c r="I25" s="2">
        <v>6</v>
      </c>
      <c r="J25" s="2">
        <v>36</v>
      </c>
      <c r="K25" s="2">
        <v>4</v>
      </c>
      <c r="L25" s="2">
        <v>19</v>
      </c>
      <c r="M25" s="2">
        <v>8</v>
      </c>
      <c r="N25" s="18">
        <v>33</v>
      </c>
    </row>
    <row r="26" spans="1:35" ht="14.5" x14ac:dyDescent="0.35">
      <c r="A26" s="1" t="s">
        <v>8</v>
      </c>
      <c r="B26" s="33">
        <v>35</v>
      </c>
      <c r="C26" s="2">
        <v>6.5</v>
      </c>
      <c r="D26" s="33">
        <v>37</v>
      </c>
      <c r="E26" s="3">
        <v>5</v>
      </c>
      <c r="F26" s="2">
        <v>35</v>
      </c>
      <c r="G26" s="2">
        <v>5</v>
      </c>
      <c r="H26" s="2">
        <v>36</v>
      </c>
      <c r="I26" s="2">
        <v>4</v>
      </c>
      <c r="J26" s="2">
        <v>31</v>
      </c>
      <c r="K26" s="2">
        <v>8</v>
      </c>
      <c r="L26" s="2">
        <v>29</v>
      </c>
      <c r="M26" s="2">
        <v>5.5</v>
      </c>
      <c r="N26" s="18">
        <v>34</v>
      </c>
    </row>
    <row r="27" spans="1:35" ht="14.5" x14ac:dyDescent="0.35">
      <c r="A27" s="1" t="s">
        <v>0</v>
      </c>
      <c r="B27" s="33">
        <v>32.125</v>
      </c>
      <c r="C27" s="2">
        <v>8</v>
      </c>
      <c r="D27" s="33">
        <v>40.125</v>
      </c>
      <c r="E27" s="3">
        <v>2.5</v>
      </c>
      <c r="F27" s="2">
        <v>39</v>
      </c>
      <c r="G27" s="2">
        <v>2</v>
      </c>
      <c r="H27" s="2">
        <v>41</v>
      </c>
      <c r="I27" s="2">
        <v>2</v>
      </c>
      <c r="J27" s="2">
        <v>37</v>
      </c>
      <c r="K27" s="2">
        <v>2.5</v>
      </c>
      <c r="L27" s="2">
        <v>26</v>
      </c>
      <c r="M27" s="2">
        <v>7</v>
      </c>
      <c r="N27" s="18">
        <v>24</v>
      </c>
    </row>
    <row r="28" spans="1:35" ht="14.5" x14ac:dyDescent="0.35">
      <c r="A28" s="1" t="s">
        <v>2</v>
      </c>
      <c r="B28" s="33">
        <v>36.375</v>
      </c>
      <c r="C28" s="2">
        <v>4.5</v>
      </c>
      <c r="D28" s="33">
        <v>33.375</v>
      </c>
      <c r="E28" s="3">
        <v>8</v>
      </c>
      <c r="F28" s="2">
        <v>37</v>
      </c>
      <c r="G28" s="2">
        <v>3.5</v>
      </c>
      <c r="H28" s="2">
        <v>30</v>
      </c>
      <c r="I28" s="2">
        <v>8</v>
      </c>
      <c r="J28" s="2">
        <v>35</v>
      </c>
      <c r="K28" s="2">
        <v>5</v>
      </c>
      <c r="L28" s="2">
        <v>33</v>
      </c>
      <c r="M28" s="2">
        <v>3</v>
      </c>
      <c r="N28" s="18">
        <v>32</v>
      </c>
    </row>
    <row r="29" spans="1:35" ht="14.5" x14ac:dyDescent="0.35">
      <c r="A29" s="1" t="s">
        <v>103</v>
      </c>
      <c r="B29" s="33">
        <v>34.625</v>
      </c>
      <c r="C29" s="2">
        <v>6.5</v>
      </c>
      <c r="D29" s="33">
        <v>39.625</v>
      </c>
      <c r="E29" s="3">
        <v>2.5</v>
      </c>
      <c r="F29" s="2">
        <v>30</v>
      </c>
      <c r="G29" s="2">
        <v>8</v>
      </c>
      <c r="H29" s="2">
        <v>33</v>
      </c>
      <c r="I29" s="2">
        <v>5</v>
      </c>
      <c r="J29" s="2">
        <v>32</v>
      </c>
      <c r="K29" s="2">
        <v>7</v>
      </c>
      <c r="L29" s="2">
        <v>29</v>
      </c>
      <c r="M29" s="2">
        <v>5.5</v>
      </c>
      <c r="N29" s="18">
        <v>34.5</v>
      </c>
    </row>
    <row r="30" spans="1:35" ht="14.5" x14ac:dyDescent="0.35">
      <c r="A30" s="1" t="s">
        <v>3</v>
      </c>
      <c r="B30" s="33">
        <v>39.25</v>
      </c>
      <c r="C30" s="2">
        <v>2</v>
      </c>
      <c r="D30" s="33">
        <v>34.25</v>
      </c>
      <c r="E30" s="3">
        <v>7</v>
      </c>
      <c r="F30" s="2">
        <v>32</v>
      </c>
      <c r="G30" s="2">
        <v>7</v>
      </c>
      <c r="H30" s="2">
        <v>37</v>
      </c>
      <c r="I30" s="2">
        <v>3</v>
      </c>
      <c r="J30" s="2">
        <v>34</v>
      </c>
      <c r="K30" s="2">
        <v>6</v>
      </c>
      <c r="L30" s="2">
        <v>36</v>
      </c>
      <c r="M30" s="2">
        <v>2</v>
      </c>
      <c r="N30" s="18">
        <v>27</v>
      </c>
    </row>
    <row r="31" spans="1:35" ht="14.5" x14ac:dyDescent="0.35">
      <c r="A31" s="1" t="s">
        <v>4</v>
      </c>
      <c r="B31" s="33">
        <v>35.625</v>
      </c>
      <c r="C31" s="2">
        <v>4.5</v>
      </c>
      <c r="D31" s="33">
        <v>38.625</v>
      </c>
      <c r="E31" s="3">
        <v>4</v>
      </c>
      <c r="F31" s="2">
        <v>37</v>
      </c>
      <c r="G31" s="2">
        <v>3.5</v>
      </c>
      <c r="H31" s="2">
        <v>31</v>
      </c>
      <c r="I31" s="2">
        <v>7</v>
      </c>
      <c r="J31" s="2">
        <v>37</v>
      </c>
      <c r="K31" s="2">
        <v>2.5</v>
      </c>
      <c r="L31" s="2">
        <v>30</v>
      </c>
      <c r="M31" s="2">
        <v>4</v>
      </c>
      <c r="N31" s="18">
        <v>25.5</v>
      </c>
    </row>
    <row r="32" spans="1:35" ht="14.5" x14ac:dyDescent="0.35">
      <c r="A32" s="1" t="s">
        <v>7</v>
      </c>
      <c r="B32" s="33">
        <v>-4</v>
      </c>
      <c r="C32" s="2">
        <v>1</v>
      </c>
      <c r="D32" s="33">
        <v>-4</v>
      </c>
      <c r="E32" s="3">
        <v>1</v>
      </c>
      <c r="F32" s="2">
        <v>-4</v>
      </c>
      <c r="G32" s="2">
        <v>1</v>
      </c>
      <c r="H32" s="2">
        <v>-4</v>
      </c>
      <c r="I32" s="2">
        <v>1</v>
      </c>
      <c r="J32" s="2">
        <v>38</v>
      </c>
      <c r="K32" s="2">
        <v>1</v>
      </c>
      <c r="L32" s="2">
        <v>-4</v>
      </c>
      <c r="M32" s="2">
        <v>1</v>
      </c>
      <c r="N32" s="18">
        <v>6</v>
      </c>
    </row>
    <row r="34" spans="1:14" ht="14.5" x14ac:dyDescent="0.35">
      <c r="A34" s="44" t="s">
        <v>84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</row>
    <row r="35" spans="1:14" ht="14.5" x14ac:dyDescent="0.35">
      <c r="A35" s="1" t="s">
        <v>1</v>
      </c>
      <c r="B35" s="1" t="s">
        <v>12</v>
      </c>
      <c r="C35" s="1" t="s">
        <v>27</v>
      </c>
      <c r="D35" s="1" t="s">
        <v>13</v>
      </c>
      <c r="E35" s="1" t="s">
        <v>27</v>
      </c>
      <c r="F35" s="1" t="s">
        <v>23</v>
      </c>
      <c r="G35" s="1" t="s">
        <v>27</v>
      </c>
      <c r="H35" s="1" t="s">
        <v>24</v>
      </c>
      <c r="I35" s="1" t="s">
        <v>27</v>
      </c>
      <c r="J35" s="1" t="s">
        <v>25</v>
      </c>
      <c r="K35" s="1" t="s">
        <v>27</v>
      </c>
      <c r="L35" s="1" t="s">
        <v>26</v>
      </c>
      <c r="M35" s="1" t="s">
        <v>27</v>
      </c>
      <c r="N35" s="1" t="s">
        <v>9</v>
      </c>
    </row>
    <row r="36" spans="1:14" ht="14.5" x14ac:dyDescent="0.35">
      <c r="A36" s="1" t="s">
        <v>5</v>
      </c>
      <c r="B36" s="33">
        <v>38</v>
      </c>
      <c r="C36" s="2">
        <v>6</v>
      </c>
      <c r="D36" s="33">
        <v>34</v>
      </c>
      <c r="E36" s="2">
        <v>7</v>
      </c>
      <c r="F36" s="33">
        <v>38</v>
      </c>
      <c r="G36" s="2">
        <v>5.5</v>
      </c>
      <c r="H36" s="33">
        <f>Y61</f>
        <v>0</v>
      </c>
      <c r="I36" s="3">
        <v>7.5</v>
      </c>
      <c r="J36" s="33"/>
      <c r="K36" s="2"/>
      <c r="L36" s="33"/>
      <c r="M36" s="2"/>
      <c r="N36" s="18">
        <f>C36+E36+G36+I36+K36+M36</f>
        <v>26</v>
      </c>
    </row>
    <row r="37" spans="1:14" ht="14.5" x14ac:dyDescent="0.35">
      <c r="A37" s="1" t="s">
        <v>8</v>
      </c>
      <c r="B37" s="33">
        <v>38</v>
      </c>
      <c r="C37" s="2">
        <v>6</v>
      </c>
      <c r="D37" s="33">
        <v>39</v>
      </c>
      <c r="E37" s="2">
        <v>4</v>
      </c>
      <c r="F37" s="33">
        <v>35</v>
      </c>
      <c r="G37" s="2">
        <v>7</v>
      </c>
      <c r="H37" s="33">
        <f>Y62</f>
        <v>0</v>
      </c>
      <c r="I37" s="3">
        <v>5.5</v>
      </c>
      <c r="J37" s="33"/>
      <c r="K37" s="2"/>
      <c r="L37" s="33"/>
      <c r="M37" s="2"/>
      <c r="N37" s="18">
        <f>C37+E37+G37+I37+K37+M37</f>
        <v>22.5</v>
      </c>
    </row>
    <row r="38" spans="1:14" ht="14.5" x14ac:dyDescent="0.35">
      <c r="A38" s="1" t="s">
        <v>0</v>
      </c>
      <c r="B38" s="33">
        <v>36</v>
      </c>
      <c r="C38" s="2">
        <v>8</v>
      </c>
      <c r="D38" s="33">
        <v>41</v>
      </c>
      <c r="E38" s="2">
        <v>1</v>
      </c>
      <c r="F38" s="33">
        <v>34</v>
      </c>
      <c r="G38" s="2">
        <v>8</v>
      </c>
      <c r="H38" s="33">
        <f>Y63</f>
        <v>0</v>
      </c>
      <c r="I38" s="3">
        <v>2</v>
      </c>
      <c r="J38" s="33"/>
      <c r="K38" s="2"/>
      <c r="L38" s="33"/>
      <c r="M38" s="2"/>
      <c r="N38" s="18">
        <f>C38+E38+G38+I38+K38+M38</f>
        <v>19</v>
      </c>
    </row>
    <row r="39" spans="1:14" ht="14.5" x14ac:dyDescent="0.35">
      <c r="A39" s="1" t="s">
        <v>2</v>
      </c>
      <c r="B39" s="33">
        <v>48</v>
      </c>
      <c r="C39" s="2">
        <v>2</v>
      </c>
      <c r="D39" s="33">
        <v>36</v>
      </c>
      <c r="E39" s="2">
        <v>6</v>
      </c>
      <c r="F39" s="33">
        <v>38</v>
      </c>
      <c r="G39" s="2">
        <v>5.5</v>
      </c>
      <c r="H39" s="33">
        <f>Y64</f>
        <v>0</v>
      </c>
      <c r="I39" s="3">
        <v>1</v>
      </c>
      <c r="J39" s="33"/>
      <c r="K39" s="2"/>
      <c r="L39" s="33"/>
      <c r="M39" s="2"/>
      <c r="N39" s="18">
        <f>C39+E39+G39+I39+K39+M39</f>
        <v>14.5</v>
      </c>
    </row>
    <row r="40" spans="1:14" ht="14.5" x14ac:dyDescent="0.35">
      <c r="A40" s="1" t="s">
        <v>103</v>
      </c>
      <c r="B40" s="33">
        <v>38</v>
      </c>
      <c r="C40" s="2">
        <v>6</v>
      </c>
      <c r="D40" s="33">
        <v>37</v>
      </c>
      <c r="E40" s="2">
        <v>5</v>
      </c>
      <c r="F40" s="33">
        <v>39</v>
      </c>
      <c r="G40" s="2">
        <v>3</v>
      </c>
      <c r="H40" s="33">
        <f>Y65</f>
        <v>0</v>
      </c>
      <c r="I40" s="3">
        <v>5.5</v>
      </c>
      <c r="J40" s="33"/>
      <c r="K40" s="2"/>
      <c r="L40" s="33"/>
      <c r="M40" s="2"/>
      <c r="N40" s="18">
        <f>C40+E40+G40+I40+K40+M40</f>
        <v>19.5</v>
      </c>
    </row>
    <row r="41" spans="1:14" ht="14.5" x14ac:dyDescent="0.35">
      <c r="A41" s="1" t="s">
        <v>3</v>
      </c>
      <c r="B41" s="33">
        <v>42</v>
      </c>
      <c r="C41" s="2">
        <v>4</v>
      </c>
      <c r="D41" s="33">
        <v>33</v>
      </c>
      <c r="E41" s="2">
        <v>8</v>
      </c>
      <c r="F41" s="33">
        <v>40</v>
      </c>
      <c r="G41" s="2">
        <v>1</v>
      </c>
      <c r="H41" s="33">
        <f>Y66</f>
        <v>0</v>
      </c>
      <c r="I41" s="3">
        <v>4</v>
      </c>
      <c r="J41" s="33"/>
      <c r="K41" s="2"/>
      <c r="L41" s="33"/>
      <c r="M41" s="2"/>
      <c r="N41" s="18">
        <f>C41+E41+G41+I41+K41+M41</f>
        <v>17</v>
      </c>
    </row>
    <row r="42" spans="1:14" ht="14.5" x14ac:dyDescent="0.35">
      <c r="A42" s="1" t="s">
        <v>4</v>
      </c>
      <c r="B42" s="33">
        <v>45</v>
      </c>
      <c r="C42" s="2">
        <v>3</v>
      </c>
      <c r="D42" s="33">
        <v>40</v>
      </c>
      <c r="E42" s="2">
        <v>2.5</v>
      </c>
      <c r="F42" s="33">
        <v>39</v>
      </c>
      <c r="G42" s="2">
        <v>3</v>
      </c>
      <c r="H42" s="33">
        <f>Y67</f>
        <v>0</v>
      </c>
      <c r="I42" s="3">
        <v>3</v>
      </c>
      <c r="J42" s="33"/>
      <c r="K42" s="2"/>
      <c r="L42" s="33"/>
      <c r="M42" s="2"/>
      <c r="N42" s="18">
        <f>C42+E42+G42+I42+K42+M42</f>
        <v>11.5</v>
      </c>
    </row>
    <row r="43" spans="1:14" ht="14.5" x14ac:dyDescent="0.35">
      <c r="A43" s="1" t="s">
        <v>7</v>
      </c>
      <c r="B43" s="33">
        <v>-5</v>
      </c>
      <c r="C43" s="2">
        <v>1</v>
      </c>
      <c r="D43" s="33">
        <v>40</v>
      </c>
      <c r="E43" s="2">
        <v>2.5</v>
      </c>
      <c r="F43" s="33">
        <v>39</v>
      </c>
      <c r="G43" s="2">
        <v>3</v>
      </c>
      <c r="H43" s="33">
        <f>Y68</f>
        <v>0</v>
      </c>
      <c r="I43" s="3">
        <v>7.5</v>
      </c>
      <c r="J43" s="33"/>
      <c r="K43" s="2"/>
      <c r="L43" s="33"/>
      <c r="M43" s="2"/>
      <c r="N43" s="18">
        <f>C43+E43+G43+I43+K43+M43</f>
        <v>14</v>
      </c>
    </row>
  </sheetData>
  <mergeCells count="4">
    <mergeCell ref="A12:N12"/>
    <mergeCell ref="P12:AI12"/>
    <mergeCell ref="A23:N23"/>
    <mergeCell ref="A34:N34"/>
  </mergeCell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10D0D-B001-4009-AC7A-169014BA2788}">
  <sheetPr>
    <outlinePr showOutlineSymbols="0"/>
  </sheetPr>
  <dimension ref="A1:Z60"/>
  <sheetViews>
    <sheetView tabSelected="1" showOutlineSymbols="0" zoomScale="96" zoomScaleNormal="60" workbookViewId="0">
      <selection activeCell="D3" sqref="D3"/>
    </sheetView>
  </sheetViews>
  <sheetFormatPr defaultRowHeight="15" outlineLevelRow="1" outlineLevelCol="2" x14ac:dyDescent="0.35"/>
  <cols>
    <col min="1" max="1" width="10.7265625" bestFit="1" customWidth="1"/>
    <col min="2" max="2" width="11.36328125" bestFit="1" customWidth="1" outlineLevel="2"/>
    <col min="3" max="10" width="9.1796875" bestFit="1" customWidth="1" outlineLevel="2"/>
    <col min="11" max="12" width="9.1796875" bestFit="1" customWidth="1" outlineLevel="1"/>
    <col min="13" max="13" width="9.1796875" bestFit="1" customWidth="1"/>
    <col min="14" max="22" width="9.1796875" bestFit="1" customWidth="1" outlineLevel="2"/>
    <col min="23" max="24" width="9.1796875" bestFit="1" customWidth="1" outlineLevel="1"/>
  </cols>
  <sheetData>
    <row r="1" spans="1:26" x14ac:dyDescent="0.35">
      <c r="A1" s="19" t="s">
        <v>1</v>
      </c>
      <c r="B1" t="s">
        <v>43</v>
      </c>
    </row>
    <row r="2" spans="1:26" x14ac:dyDescent="0.35">
      <c r="A2" s="20" t="s">
        <v>5</v>
      </c>
      <c r="B2">
        <v>26</v>
      </c>
    </row>
    <row r="3" spans="1:26" x14ac:dyDescent="0.35">
      <c r="A3" s="20" t="s">
        <v>8</v>
      </c>
      <c r="B3">
        <v>22.5</v>
      </c>
    </row>
    <row r="4" spans="1:26" x14ac:dyDescent="0.35">
      <c r="A4" s="20" t="s">
        <v>103</v>
      </c>
      <c r="B4">
        <v>19.5</v>
      </c>
    </row>
    <row r="5" spans="1:26" x14ac:dyDescent="0.35">
      <c r="A5" s="20" t="s">
        <v>0</v>
      </c>
      <c r="B5">
        <v>19</v>
      </c>
    </row>
    <row r="6" spans="1:26" x14ac:dyDescent="0.35">
      <c r="A6" s="20" t="s">
        <v>3</v>
      </c>
      <c r="B6">
        <v>17</v>
      </c>
    </row>
    <row r="7" spans="1:26" x14ac:dyDescent="0.35">
      <c r="A7" s="20" t="s">
        <v>2</v>
      </c>
      <c r="B7">
        <v>14.5</v>
      </c>
    </row>
    <row r="8" spans="1:26" x14ac:dyDescent="0.35">
      <c r="A8" s="20" t="s">
        <v>7</v>
      </c>
      <c r="B8">
        <v>14</v>
      </c>
    </row>
    <row r="9" spans="1:26" x14ac:dyDescent="0.35">
      <c r="A9" s="20" t="s">
        <v>4</v>
      </c>
      <c r="B9">
        <v>11.5</v>
      </c>
    </row>
    <row r="10" spans="1:26" x14ac:dyDescent="0.35">
      <c r="A10" s="20" t="s">
        <v>42</v>
      </c>
      <c r="B10">
        <v>144</v>
      </c>
    </row>
    <row r="11" spans="1:26" x14ac:dyDescent="0.35">
      <c r="U11" t="s">
        <v>118</v>
      </c>
    </row>
    <row r="12" spans="1:26" ht="14.5" x14ac:dyDescent="0.35">
      <c r="A12" s="44" t="s">
        <v>84</v>
      </c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P12" s="45" t="s">
        <v>27</v>
      </c>
      <c r="Q12" s="46"/>
      <c r="R12" s="17" t="s">
        <v>36</v>
      </c>
      <c r="T12" s="44" t="s">
        <v>37</v>
      </c>
      <c r="U12" s="44"/>
      <c r="V12" s="44"/>
      <c r="W12" s="44"/>
      <c r="X12" s="44"/>
      <c r="Y12" s="44"/>
      <c r="Z12" s="44"/>
    </row>
    <row r="13" spans="1:26" ht="14.5" x14ac:dyDescent="0.35">
      <c r="A13" s="1" t="s">
        <v>1</v>
      </c>
      <c r="B13" s="1" t="s">
        <v>12</v>
      </c>
      <c r="C13" s="1" t="s">
        <v>27</v>
      </c>
      <c r="D13" s="1" t="s">
        <v>13</v>
      </c>
      <c r="E13" s="1" t="s">
        <v>27</v>
      </c>
      <c r="F13" s="1" t="s">
        <v>23</v>
      </c>
      <c r="G13" s="1" t="s">
        <v>27</v>
      </c>
      <c r="H13" s="1" t="s">
        <v>24</v>
      </c>
      <c r="I13" s="1" t="s">
        <v>27</v>
      </c>
      <c r="J13" s="1" t="s">
        <v>25</v>
      </c>
      <c r="K13" s="1" t="s">
        <v>27</v>
      </c>
      <c r="L13" s="1" t="s">
        <v>26</v>
      </c>
      <c r="M13" s="1" t="s">
        <v>27</v>
      </c>
      <c r="N13" s="1" t="s">
        <v>9</v>
      </c>
      <c r="P13" s="1" t="s">
        <v>28</v>
      </c>
      <c r="Q13" s="2">
        <v>8</v>
      </c>
      <c r="T13" s="1" t="s">
        <v>1</v>
      </c>
      <c r="U13" s="1" t="s">
        <v>12</v>
      </c>
      <c r="V13" s="1" t="s">
        <v>13</v>
      </c>
      <c r="W13" s="1" t="s">
        <v>23</v>
      </c>
      <c r="X13" s="1" t="s">
        <v>24</v>
      </c>
      <c r="Y13" s="1" t="s">
        <v>25</v>
      </c>
      <c r="Z13" s="1" t="s">
        <v>26</v>
      </c>
    </row>
    <row r="14" spans="1:26" ht="14.5" x14ac:dyDescent="0.35">
      <c r="A14" s="1" t="s">
        <v>5</v>
      </c>
      <c r="B14" s="33">
        <f>M26</f>
        <v>38</v>
      </c>
      <c r="C14" s="3">
        <v>6</v>
      </c>
      <c r="D14" s="33">
        <f>Y26</f>
        <v>34</v>
      </c>
      <c r="E14" s="33">
        <v>7</v>
      </c>
      <c r="F14" s="33">
        <f>M39</f>
        <v>38</v>
      </c>
      <c r="G14" s="3">
        <v>5.5</v>
      </c>
      <c r="H14" s="33">
        <f>Y39</f>
        <v>31</v>
      </c>
      <c r="I14" s="3">
        <v>7.5</v>
      </c>
      <c r="J14" s="33">
        <f>M52</f>
        <v>-21</v>
      </c>
      <c r="K14" s="33"/>
      <c r="L14" s="33">
        <f>Y52</f>
        <v>-21</v>
      </c>
      <c r="M14" s="2"/>
      <c r="N14" s="18">
        <f>C14+E14+G14+I14+K14+M14</f>
        <v>26</v>
      </c>
      <c r="P14" s="1" t="s">
        <v>29</v>
      </c>
      <c r="Q14" s="2">
        <v>7</v>
      </c>
      <c r="T14" s="1" t="s">
        <v>5</v>
      </c>
      <c r="U14" s="48" t="s">
        <v>40</v>
      </c>
      <c r="V14" s="48"/>
      <c r="W14" s="49" t="s">
        <v>40</v>
      </c>
      <c r="X14" s="49" t="s">
        <v>40</v>
      </c>
      <c r="Y14" s="48"/>
      <c r="Z14" s="48"/>
    </row>
    <row r="15" spans="1:26" ht="14.5" x14ac:dyDescent="0.35">
      <c r="A15" s="1" t="s">
        <v>8</v>
      </c>
      <c r="B15" s="33">
        <f>M27</f>
        <v>38</v>
      </c>
      <c r="C15" s="3">
        <v>6</v>
      </c>
      <c r="D15" s="33">
        <f>Y27</f>
        <v>39</v>
      </c>
      <c r="E15" s="33">
        <v>4</v>
      </c>
      <c r="F15" s="33">
        <f>M40</f>
        <v>35</v>
      </c>
      <c r="G15" s="3">
        <v>7</v>
      </c>
      <c r="H15" s="33">
        <f>Y40</f>
        <v>32</v>
      </c>
      <c r="I15" s="3">
        <v>5.5</v>
      </c>
      <c r="J15" s="33">
        <f>M53</f>
        <v>-20</v>
      </c>
      <c r="K15" s="33"/>
      <c r="L15" s="33">
        <f>Y53</f>
        <v>-20</v>
      </c>
      <c r="M15" s="2"/>
      <c r="N15" s="18">
        <f>C15+E15+G15+I15+K15+M15</f>
        <v>22.5</v>
      </c>
      <c r="P15" s="1" t="s">
        <v>30</v>
      </c>
      <c r="Q15" s="2">
        <v>6</v>
      </c>
      <c r="T15" s="1" t="s">
        <v>8</v>
      </c>
      <c r="U15" s="48" t="s">
        <v>40</v>
      </c>
      <c r="V15" s="48"/>
      <c r="W15" s="49" t="s">
        <v>40</v>
      </c>
      <c r="X15" s="49">
        <v>16.399999999999999</v>
      </c>
      <c r="Y15" s="48"/>
      <c r="Z15" s="48"/>
    </row>
    <row r="16" spans="1:26" ht="14.5" x14ac:dyDescent="0.35">
      <c r="A16" s="1" t="s">
        <v>0</v>
      </c>
      <c r="B16" s="33">
        <f>M28</f>
        <v>36</v>
      </c>
      <c r="C16" s="3">
        <v>8</v>
      </c>
      <c r="D16" s="33">
        <f>Y28</f>
        <v>41</v>
      </c>
      <c r="E16" s="33">
        <v>1</v>
      </c>
      <c r="F16" s="33">
        <f>M41</f>
        <v>34</v>
      </c>
      <c r="G16" s="3">
        <v>8</v>
      </c>
      <c r="H16" s="33">
        <f>Y41</f>
        <v>43</v>
      </c>
      <c r="I16" s="3">
        <v>2</v>
      </c>
      <c r="J16" s="33">
        <f>M54</f>
        <v>-18</v>
      </c>
      <c r="K16" s="3"/>
      <c r="L16" s="33">
        <f>Y54</f>
        <v>-18</v>
      </c>
      <c r="M16" s="2"/>
      <c r="N16" s="18">
        <f>C16+E16+G16+I16+K16+M16</f>
        <v>19</v>
      </c>
      <c r="P16" s="1" t="s">
        <v>31</v>
      </c>
      <c r="Q16" s="2">
        <v>5</v>
      </c>
      <c r="T16" s="1" t="s">
        <v>0</v>
      </c>
      <c r="U16" s="48" t="s">
        <v>40</v>
      </c>
      <c r="V16" s="48"/>
      <c r="W16" s="49" t="s">
        <v>40</v>
      </c>
      <c r="X16" s="49" t="s">
        <v>40</v>
      </c>
      <c r="Y16" s="48"/>
      <c r="Z16" s="48"/>
    </row>
    <row r="17" spans="1:26" ht="14.5" x14ac:dyDescent="0.35">
      <c r="A17" s="1" t="s">
        <v>2</v>
      </c>
      <c r="B17" s="33">
        <f>M29</f>
        <v>48</v>
      </c>
      <c r="C17" s="3">
        <v>2</v>
      </c>
      <c r="D17" s="33">
        <f>Y29</f>
        <v>36</v>
      </c>
      <c r="E17" s="33">
        <v>6</v>
      </c>
      <c r="F17" s="33">
        <f>M42</f>
        <v>38</v>
      </c>
      <c r="G17" s="3">
        <v>5.5</v>
      </c>
      <c r="H17" s="33">
        <f>Y42</f>
        <v>44</v>
      </c>
      <c r="I17" s="3">
        <v>1</v>
      </c>
      <c r="J17" s="33">
        <f>M55</f>
        <v>-5</v>
      </c>
      <c r="K17" s="33"/>
      <c r="L17" s="33">
        <f>Y55</f>
        <v>-5</v>
      </c>
      <c r="M17" s="2"/>
      <c r="N17" s="18">
        <f>C17+E17+G17+I17+K17+M17</f>
        <v>14.5</v>
      </c>
      <c r="P17" s="1" t="s">
        <v>32</v>
      </c>
      <c r="Q17" s="2">
        <v>4</v>
      </c>
      <c r="T17" s="1" t="s">
        <v>2</v>
      </c>
      <c r="U17" s="10">
        <v>7.1</v>
      </c>
      <c r="V17" s="48"/>
      <c r="W17" s="49" t="s">
        <v>40</v>
      </c>
      <c r="X17" s="49" t="s">
        <v>40</v>
      </c>
      <c r="Y17" s="48"/>
      <c r="Z17" s="48"/>
    </row>
    <row r="18" spans="1:26" ht="14.5" x14ac:dyDescent="0.35">
      <c r="A18" s="1" t="s">
        <v>103</v>
      </c>
      <c r="B18" s="33">
        <f>M30</f>
        <v>38</v>
      </c>
      <c r="C18" s="3">
        <v>6</v>
      </c>
      <c r="D18" s="33">
        <f>Y30</f>
        <v>37</v>
      </c>
      <c r="E18" s="33">
        <v>5</v>
      </c>
      <c r="F18" s="33">
        <f>M43</f>
        <v>39</v>
      </c>
      <c r="G18" s="3">
        <v>3</v>
      </c>
      <c r="H18" s="33">
        <f>Y43</f>
        <v>32</v>
      </c>
      <c r="I18" s="3">
        <v>5.5</v>
      </c>
      <c r="J18" s="33">
        <f>M56</f>
        <v>-7</v>
      </c>
      <c r="K18" s="33"/>
      <c r="L18" s="33">
        <f>Y56</f>
        <v>-7</v>
      </c>
      <c r="M18" s="2"/>
      <c r="N18" s="18">
        <f>C18+E18+G18+I18+K18+M18</f>
        <v>19.5</v>
      </c>
      <c r="P18" s="1" t="s">
        <v>33</v>
      </c>
      <c r="Q18" s="2">
        <v>3</v>
      </c>
      <c r="T18" s="1" t="s">
        <v>103</v>
      </c>
      <c r="U18" s="48" t="s">
        <v>40</v>
      </c>
      <c r="V18" s="48"/>
      <c r="W18" s="21" t="s">
        <v>40</v>
      </c>
      <c r="X18" s="21">
        <v>4.7</v>
      </c>
      <c r="Y18" s="48"/>
      <c r="Z18" s="48"/>
    </row>
    <row r="19" spans="1:26" ht="14.5" x14ac:dyDescent="0.35">
      <c r="A19" s="1" t="s">
        <v>3</v>
      </c>
      <c r="B19" s="33">
        <f>M31</f>
        <v>42</v>
      </c>
      <c r="C19" s="3">
        <v>4</v>
      </c>
      <c r="D19" s="33">
        <f>Y31</f>
        <v>33</v>
      </c>
      <c r="E19" s="33">
        <v>8</v>
      </c>
      <c r="F19" s="33">
        <f>M44</f>
        <v>40</v>
      </c>
      <c r="G19" s="3">
        <v>1</v>
      </c>
      <c r="H19" s="33">
        <f>Y44</f>
        <v>34</v>
      </c>
      <c r="I19" s="3">
        <v>4</v>
      </c>
      <c r="J19" s="33">
        <f>M57</f>
        <v>-7</v>
      </c>
      <c r="K19" s="33"/>
      <c r="L19" s="33">
        <f>Y57</f>
        <v>-7</v>
      </c>
      <c r="M19" s="2"/>
      <c r="N19" s="18">
        <f>C19+E19+G19+I19+K19+M19</f>
        <v>17</v>
      </c>
      <c r="P19" s="1" t="s">
        <v>34</v>
      </c>
      <c r="Q19" s="2">
        <v>2</v>
      </c>
      <c r="T19" s="1" t="s">
        <v>3</v>
      </c>
      <c r="U19" s="48" t="s">
        <v>40</v>
      </c>
      <c r="V19" s="21"/>
      <c r="W19" s="49" t="s">
        <v>40</v>
      </c>
      <c r="X19" s="49">
        <v>14.5</v>
      </c>
      <c r="Y19" s="48"/>
      <c r="Z19" s="48"/>
    </row>
    <row r="20" spans="1:26" ht="14.5" x14ac:dyDescent="0.35">
      <c r="A20" s="1" t="s">
        <v>4</v>
      </c>
      <c r="B20" s="33">
        <f>M32</f>
        <v>45</v>
      </c>
      <c r="C20" s="3">
        <v>3</v>
      </c>
      <c r="D20" s="33">
        <f>Y32</f>
        <v>40</v>
      </c>
      <c r="E20" s="3">
        <v>2.5</v>
      </c>
      <c r="F20" s="33">
        <f>M45</f>
        <v>39</v>
      </c>
      <c r="G20" s="3">
        <v>3</v>
      </c>
      <c r="H20" s="33">
        <f>Y45</f>
        <v>39</v>
      </c>
      <c r="I20" s="3">
        <v>3</v>
      </c>
      <c r="J20" s="33">
        <f>M58</f>
        <v>-7</v>
      </c>
      <c r="K20" s="3"/>
      <c r="L20" s="33">
        <f>Y58</f>
        <v>-7</v>
      </c>
      <c r="M20" s="2"/>
      <c r="N20" s="18">
        <f>C20+E20+G20+I20+K20+M20</f>
        <v>11.5</v>
      </c>
      <c r="P20" s="1" t="s">
        <v>35</v>
      </c>
      <c r="Q20" s="2">
        <v>1</v>
      </c>
      <c r="T20" s="1" t="s">
        <v>4</v>
      </c>
      <c r="U20" s="48" t="s">
        <v>40</v>
      </c>
      <c r="V20" s="48"/>
      <c r="W20" s="49" t="s">
        <v>40</v>
      </c>
      <c r="X20" s="49" t="s">
        <v>40</v>
      </c>
      <c r="Y20" s="48"/>
      <c r="Z20" s="48"/>
    </row>
    <row r="21" spans="1:26" ht="14.5" x14ac:dyDescent="0.35">
      <c r="A21" s="1" t="s">
        <v>7</v>
      </c>
      <c r="B21" s="33">
        <f>M33</f>
        <v>-5</v>
      </c>
      <c r="C21" s="3">
        <v>1</v>
      </c>
      <c r="D21" s="33">
        <f>Y33</f>
        <v>40</v>
      </c>
      <c r="E21" s="3">
        <v>2.5</v>
      </c>
      <c r="F21" s="33">
        <f>M46</f>
        <v>39</v>
      </c>
      <c r="G21" s="3">
        <v>3</v>
      </c>
      <c r="H21" s="33">
        <f>Y46</f>
        <v>31</v>
      </c>
      <c r="I21" s="3">
        <v>7.5</v>
      </c>
      <c r="J21" s="33">
        <f>M59</f>
        <v>-5</v>
      </c>
      <c r="K21" s="33"/>
      <c r="L21" s="33">
        <f>Y59</f>
        <v>-5</v>
      </c>
      <c r="M21" s="2"/>
      <c r="N21" s="18">
        <f>C21+E21+G21+I21+K21+M21</f>
        <v>14</v>
      </c>
      <c r="T21" s="1" t="s">
        <v>7</v>
      </c>
      <c r="U21" s="48"/>
      <c r="V21" s="48"/>
      <c r="W21" s="49" t="s">
        <v>40</v>
      </c>
      <c r="X21" s="49" t="s">
        <v>40</v>
      </c>
      <c r="Y21" s="48"/>
      <c r="Z21" s="48"/>
    </row>
    <row r="23" spans="1:26" ht="14.5" x14ac:dyDescent="0.35">
      <c r="A23" s="1" t="s">
        <v>125</v>
      </c>
      <c r="B23" s="1">
        <v>1</v>
      </c>
      <c r="C23" s="1">
        <v>2</v>
      </c>
      <c r="D23" s="1">
        <v>3</v>
      </c>
      <c r="E23" s="11">
        <v>4</v>
      </c>
      <c r="F23" s="9">
        <v>5</v>
      </c>
      <c r="G23" s="11">
        <v>6</v>
      </c>
      <c r="H23" s="1">
        <v>7</v>
      </c>
      <c r="I23" s="1">
        <v>8</v>
      </c>
      <c r="J23" s="1">
        <v>9</v>
      </c>
      <c r="K23" s="1" t="s">
        <v>9</v>
      </c>
      <c r="L23" s="1" t="s">
        <v>14</v>
      </c>
      <c r="M23" s="1" t="s">
        <v>20</v>
      </c>
      <c r="N23" s="1">
        <v>10</v>
      </c>
      <c r="O23" s="1">
        <v>11</v>
      </c>
      <c r="P23" s="11">
        <v>12</v>
      </c>
      <c r="Q23" s="1">
        <v>13</v>
      </c>
      <c r="R23" s="14">
        <v>14</v>
      </c>
      <c r="S23" s="1">
        <v>15</v>
      </c>
      <c r="T23" s="1">
        <v>16</v>
      </c>
      <c r="U23" s="9">
        <v>17</v>
      </c>
      <c r="V23" s="1">
        <v>18</v>
      </c>
      <c r="W23" s="1" t="s">
        <v>9</v>
      </c>
      <c r="X23" s="1" t="s">
        <v>14</v>
      </c>
      <c r="Y23" s="1" t="s">
        <v>20</v>
      </c>
    </row>
    <row r="24" spans="1:26" ht="14.5" outlineLevel="1" x14ac:dyDescent="0.35">
      <c r="A24" s="1" t="s">
        <v>15</v>
      </c>
      <c r="B24" s="1">
        <v>4</v>
      </c>
      <c r="C24" s="1">
        <v>4</v>
      </c>
      <c r="D24" s="1">
        <v>4</v>
      </c>
      <c r="E24" s="11">
        <v>5</v>
      </c>
      <c r="F24" s="9">
        <v>3</v>
      </c>
      <c r="G24" s="11">
        <v>4</v>
      </c>
      <c r="H24" s="1">
        <v>5</v>
      </c>
      <c r="I24" s="1">
        <v>3</v>
      </c>
      <c r="J24" s="1">
        <v>4</v>
      </c>
      <c r="K24" s="1">
        <f>SUM(B24:J24)</f>
        <v>36</v>
      </c>
      <c r="L24" s="7"/>
      <c r="M24" s="7"/>
      <c r="N24" s="1">
        <v>4</v>
      </c>
      <c r="O24" s="1">
        <v>4</v>
      </c>
      <c r="P24" s="11">
        <v>4</v>
      </c>
      <c r="Q24" s="1">
        <v>3</v>
      </c>
      <c r="R24" s="14">
        <v>4</v>
      </c>
      <c r="S24" s="1">
        <v>4</v>
      </c>
      <c r="T24" s="1">
        <v>5</v>
      </c>
      <c r="U24" s="9">
        <v>3</v>
      </c>
      <c r="V24" s="1">
        <v>5</v>
      </c>
      <c r="W24" s="1">
        <f>SUM(N24:V24)</f>
        <v>36</v>
      </c>
      <c r="X24" s="8"/>
      <c r="Y24" s="7"/>
    </row>
    <row r="25" spans="1:26" ht="14.5" outlineLevel="1" x14ac:dyDescent="0.35">
      <c r="A25" s="1" t="s">
        <v>1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15"/>
      <c r="O25" s="5"/>
      <c r="P25" s="5"/>
      <c r="Q25" s="5"/>
      <c r="R25" s="15"/>
      <c r="S25" s="5"/>
      <c r="T25" s="5"/>
      <c r="U25" s="5"/>
      <c r="V25" s="5"/>
      <c r="W25" s="5"/>
      <c r="X25" s="5"/>
      <c r="Y25" s="5"/>
    </row>
    <row r="26" spans="1:26" ht="14.5" outlineLevel="1" x14ac:dyDescent="0.35">
      <c r="A26" s="1" t="s">
        <v>5</v>
      </c>
      <c r="B26" s="2">
        <v>7</v>
      </c>
      <c r="C26" s="2">
        <v>5</v>
      </c>
      <c r="D26" s="29">
        <v>8</v>
      </c>
      <c r="E26" s="2">
        <v>7</v>
      </c>
      <c r="F26" s="10">
        <v>7</v>
      </c>
      <c r="G26" s="2">
        <v>6</v>
      </c>
      <c r="H26" s="2">
        <v>7</v>
      </c>
      <c r="I26" s="29">
        <v>5</v>
      </c>
      <c r="J26" s="16">
        <v>7</v>
      </c>
      <c r="K26" s="1">
        <f>SUM(B26:J26)</f>
        <v>59</v>
      </c>
      <c r="L26" s="32">
        <v>21</v>
      </c>
      <c r="M26" s="32">
        <f>K26-L26</f>
        <v>38</v>
      </c>
      <c r="N26" s="16">
        <v>9</v>
      </c>
      <c r="O26" s="2">
        <v>5</v>
      </c>
      <c r="P26" s="2">
        <v>5</v>
      </c>
      <c r="Q26" s="2">
        <v>4</v>
      </c>
      <c r="R26" s="16">
        <v>5</v>
      </c>
      <c r="S26" s="2">
        <v>8</v>
      </c>
      <c r="T26" s="2">
        <v>9</v>
      </c>
      <c r="U26" s="10">
        <v>4</v>
      </c>
      <c r="V26" s="2">
        <v>6</v>
      </c>
      <c r="W26" s="1">
        <f>SUM(N26:V26)</f>
        <v>55</v>
      </c>
      <c r="X26" s="32">
        <v>21</v>
      </c>
      <c r="Y26" s="32">
        <f>W26-X26</f>
        <v>34</v>
      </c>
    </row>
    <row r="27" spans="1:26" ht="14.5" x14ac:dyDescent="0.35">
      <c r="A27" s="1" t="s">
        <v>8</v>
      </c>
      <c r="B27" s="2">
        <v>8</v>
      </c>
      <c r="C27" s="2">
        <v>7</v>
      </c>
      <c r="D27" s="29">
        <v>6</v>
      </c>
      <c r="E27" s="2">
        <v>8</v>
      </c>
      <c r="F27" s="10">
        <v>3</v>
      </c>
      <c r="G27" s="2">
        <v>8</v>
      </c>
      <c r="H27" s="2">
        <v>8</v>
      </c>
      <c r="I27" s="29">
        <v>4</v>
      </c>
      <c r="J27" s="16">
        <v>6</v>
      </c>
      <c r="K27" s="1">
        <f>SUM(B27:J27)</f>
        <v>58</v>
      </c>
      <c r="L27" s="32">
        <v>20</v>
      </c>
      <c r="M27" s="32">
        <f>K27-L27</f>
        <v>38</v>
      </c>
      <c r="N27" s="16">
        <v>6</v>
      </c>
      <c r="O27" s="2">
        <v>5</v>
      </c>
      <c r="P27" s="2">
        <v>6</v>
      </c>
      <c r="Q27" s="2">
        <v>6</v>
      </c>
      <c r="R27" s="16">
        <v>6</v>
      </c>
      <c r="S27" s="2">
        <v>7</v>
      </c>
      <c r="T27" s="2">
        <v>8</v>
      </c>
      <c r="U27" s="10">
        <v>6</v>
      </c>
      <c r="V27" s="2">
        <v>9</v>
      </c>
      <c r="W27" s="1">
        <f>SUM(N27:V27)</f>
        <v>59</v>
      </c>
      <c r="X27" s="32">
        <v>20</v>
      </c>
      <c r="Y27" s="32">
        <f>W27-X27</f>
        <v>39</v>
      </c>
    </row>
    <row r="28" spans="1:26" ht="14.5" x14ac:dyDescent="0.35">
      <c r="A28" s="1" t="s">
        <v>0</v>
      </c>
      <c r="B28" s="2">
        <v>6</v>
      </c>
      <c r="C28" s="2">
        <v>5</v>
      </c>
      <c r="D28" s="29">
        <v>7</v>
      </c>
      <c r="E28" s="2">
        <v>9</v>
      </c>
      <c r="F28" s="10">
        <v>6</v>
      </c>
      <c r="G28" s="2">
        <v>7</v>
      </c>
      <c r="H28" s="2">
        <v>5</v>
      </c>
      <c r="I28" s="29">
        <v>4</v>
      </c>
      <c r="J28" s="16">
        <v>5</v>
      </c>
      <c r="K28" s="1">
        <f>SUM(B28:J28)</f>
        <v>54</v>
      </c>
      <c r="L28" s="32">
        <v>18</v>
      </c>
      <c r="M28" s="32">
        <f>K28-L28</f>
        <v>36</v>
      </c>
      <c r="N28" s="16">
        <v>6</v>
      </c>
      <c r="O28" s="2">
        <v>6</v>
      </c>
      <c r="P28" s="2">
        <v>5</v>
      </c>
      <c r="Q28" s="2">
        <v>6</v>
      </c>
      <c r="R28" s="16">
        <v>10</v>
      </c>
      <c r="S28" s="2">
        <v>6</v>
      </c>
      <c r="T28" s="2">
        <v>8</v>
      </c>
      <c r="U28" s="10">
        <v>4</v>
      </c>
      <c r="V28" s="2">
        <v>8</v>
      </c>
      <c r="W28" s="1">
        <f>SUM(N28:V28)</f>
        <v>59</v>
      </c>
      <c r="X28" s="32">
        <v>18</v>
      </c>
      <c r="Y28" s="32">
        <f>W28-X28</f>
        <v>41</v>
      </c>
    </row>
    <row r="29" spans="1:26" ht="14.5" x14ac:dyDescent="0.35">
      <c r="A29" s="1" t="s">
        <v>2</v>
      </c>
      <c r="B29" s="2">
        <v>6</v>
      </c>
      <c r="C29" s="2">
        <v>5</v>
      </c>
      <c r="D29" s="29">
        <v>6</v>
      </c>
      <c r="E29" s="2">
        <v>8</v>
      </c>
      <c r="F29" s="10">
        <v>3</v>
      </c>
      <c r="G29" s="2">
        <v>5</v>
      </c>
      <c r="H29" s="2">
        <v>5</v>
      </c>
      <c r="I29" s="29">
        <v>8</v>
      </c>
      <c r="J29" s="16">
        <v>7</v>
      </c>
      <c r="K29" s="1">
        <f>SUM(B29:J29)</f>
        <v>53</v>
      </c>
      <c r="L29" s="32">
        <v>5</v>
      </c>
      <c r="M29" s="32">
        <f>K29-L29</f>
        <v>48</v>
      </c>
      <c r="N29" s="16">
        <v>5</v>
      </c>
      <c r="O29" s="2">
        <v>3</v>
      </c>
      <c r="P29" s="2">
        <v>5</v>
      </c>
      <c r="Q29" s="2">
        <v>3</v>
      </c>
      <c r="R29" s="16">
        <v>5</v>
      </c>
      <c r="S29" s="2">
        <v>4</v>
      </c>
      <c r="T29" s="2">
        <v>7</v>
      </c>
      <c r="U29" s="10">
        <v>3</v>
      </c>
      <c r="V29" s="2">
        <v>6</v>
      </c>
      <c r="W29" s="1">
        <f>SUM(N29:V29)</f>
        <v>41</v>
      </c>
      <c r="X29" s="32">
        <v>5</v>
      </c>
      <c r="Y29" s="32">
        <f>W29-X29</f>
        <v>36</v>
      </c>
    </row>
    <row r="30" spans="1:26" ht="14.5" x14ac:dyDescent="0.35">
      <c r="A30" s="1" t="s">
        <v>103</v>
      </c>
      <c r="B30" s="2">
        <v>4</v>
      </c>
      <c r="C30" s="2">
        <v>5</v>
      </c>
      <c r="D30" s="29">
        <v>9</v>
      </c>
      <c r="E30" s="2">
        <v>6</v>
      </c>
      <c r="F30" s="10">
        <v>3</v>
      </c>
      <c r="G30" s="2">
        <v>5</v>
      </c>
      <c r="H30" s="2">
        <v>6</v>
      </c>
      <c r="I30" s="29">
        <v>3</v>
      </c>
      <c r="J30" s="16">
        <v>4</v>
      </c>
      <c r="K30" s="1">
        <f>SUM(B30:J30)</f>
        <v>45</v>
      </c>
      <c r="L30" s="32">
        <v>7</v>
      </c>
      <c r="M30" s="32">
        <f>K30-L30</f>
        <v>38</v>
      </c>
      <c r="N30" s="16">
        <v>5</v>
      </c>
      <c r="O30" s="2">
        <v>5</v>
      </c>
      <c r="P30" s="2">
        <v>4</v>
      </c>
      <c r="Q30" s="2">
        <v>4</v>
      </c>
      <c r="R30" s="16">
        <v>5</v>
      </c>
      <c r="S30" s="2">
        <v>5</v>
      </c>
      <c r="T30" s="2">
        <v>6</v>
      </c>
      <c r="U30" s="10">
        <v>4</v>
      </c>
      <c r="V30" s="2">
        <v>6</v>
      </c>
      <c r="W30" s="1">
        <f>SUM(N30:V30)</f>
        <v>44</v>
      </c>
      <c r="X30" s="32">
        <v>7</v>
      </c>
      <c r="Y30" s="32">
        <f>W30-X30</f>
        <v>37</v>
      </c>
    </row>
    <row r="31" spans="1:26" ht="14.5" x14ac:dyDescent="0.35">
      <c r="A31" s="1" t="s">
        <v>3</v>
      </c>
      <c r="B31" s="2">
        <v>4</v>
      </c>
      <c r="C31" s="2">
        <v>6</v>
      </c>
      <c r="D31" s="29">
        <v>6</v>
      </c>
      <c r="E31" s="2">
        <v>6</v>
      </c>
      <c r="F31" s="10">
        <v>4</v>
      </c>
      <c r="G31" s="2">
        <v>6</v>
      </c>
      <c r="H31" s="2">
        <v>7</v>
      </c>
      <c r="I31" s="29">
        <v>5</v>
      </c>
      <c r="J31" s="16">
        <v>5</v>
      </c>
      <c r="K31" s="1">
        <f>SUM(B31:J31)</f>
        <v>49</v>
      </c>
      <c r="L31" s="32">
        <v>7</v>
      </c>
      <c r="M31" s="32">
        <f>K31-L31</f>
        <v>42</v>
      </c>
      <c r="N31" s="16">
        <v>5</v>
      </c>
      <c r="O31" s="2">
        <v>4</v>
      </c>
      <c r="P31" s="2">
        <v>4</v>
      </c>
      <c r="Q31" s="2">
        <v>4</v>
      </c>
      <c r="R31" s="16">
        <v>4</v>
      </c>
      <c r="S31" s="2">
        <v>5</v>
      </c>
      <c r="T31" s="2">
        <v>7</v>
      </c>
      <c r="U31" s="10">
        <v>2</v>
      </c>
      <c r="V31" s="2">
        <v>5</v>
      </c>
      <c r="W31" s="1">
        <f>SUM(N31:V31)</f>
        <v>40</v>
      </c>
      <c r="X31" s="32">
        <v>7</v>
      </c>
      <c r="Y31" s="32">
        <f>W31-X31</f>
        <v>33</v>
      </c>
    </row>
    <row r="32" spans="1:26" ht="14.5" x14ac:dyDescent="0.35">
      <c r="A32" s="1" t="s">
        <v>4</v>
      </c>
      <c r="B32" s="2">
        <v>6</v>
      </c>
      <c r="C32" s="2">
        <v>6</v>
      </c>
      <c r="D32" s="29">
        <v>6</v>
      </c>
      <c r="E32" s="2">
        <v>6</v>
      </c>
      <c r="F32" s="10">
        <v>4</v>
      </c>
      <c r="G32" s="2">
        <v>6</v>
      </c>
      <c r="H32" s="2">
        <v>6</v>
      </c>
      <c r="I32" s="29">
        <v>5</v>
      </c>
      <c r="J32" s="16">
        <v>7</v>
      </c>
      <c r="K32" s="1">
        <f>SUM(B32:J32)</f>
        <v>52</v>
      </c>
      <c r="L32" s="32">
        <v>7</v>
      </c>
      <c r="M32" s="32">
        <f>K32-L32</f>
        <v>45</v>
      </c>
      <c r="N32" s="16">
        <v>5</v>
      </c>
      <c r="O32" s="2">
        <v>4</v>
      </c>
      <c r="P32" s="2">
        <v>4</v>
      </c>
      <c r="Q32" s="2">
        <v>5</v>
      </c>
      <c r="R32" s="16">
        <v>7</v>
      </c>
      <c r="S32" s="2">
        <v>5</v>
      </c>
      <c r="T32" s="2">
        <v>5</v>
      </c>
      <c r="U32" s="10">
        <v>5</v>
      </c>
      <c r="V32" s="2">
        <v>7</v>
      </c>
      <c r="W32" s="1">
        <f>SUM(N32:V32)</f>
        <v>47</v>
      </c>
      <c r="X32" s="32">
        <v>7</v>
      </c>
      <c r="Y32" s="32">
        <f>W32-X32</f>
        <v>40</v>
      </c>
    </row>
    <row r="33" spans="1:25" ht="14.5" x14ac:dyDescent="0.35">
      <c r="A33" s="1" t="s">
        <v>7</v>
      </c>
      <c r="B33" s="2"/>
      <c r="C33" s="2"/>
      <c r="D33" s="29"/>
      <c r="E33" s="2"/>
      <c r="F33" s="10"/>
      <c r="G33" s="2"/>
      <c r="H33" s="2"/>
      <c r="I33" s="29"/>
      <c r="J33" s="16"/>
      <c r="K33" s="1">
        <f>SUM(B33:J33)</f>
        <v>0</v>
      </c>
      <c r="L33" s="32">
        <v>5</v>
      </c>
      <c r="M33" s="32">
        <f>K33-L33</f>
        <v>-5</v>
      </c>
      <c r="N33" s="16">
        <v>5</v>
      </c>
      <c r="O33" s="2">
        <v>7</v>
      </c>
      <c r="P33" s="2">
        <v>3</v>
      </c>
      <c r="Q33" s="2">
        <v>4</v>
      </c>
      <c r="R33" s="16">
        <v>5</v>
      </c>
      <c r="S33" s="2">
        <v>5</v>
      </c>
      <c r="T33" s="2">
        <v>7</v>
      </c>
      <c r="U33" s="10">
        <v>3</v>
      </c>
      <c r="V33" s="2">
        <v>6</v>
      </c>
      <c r="W33" s="1">
        <f>SUM(N33:V33)</f>
        <v>45</v>
      </c>
      <c r="X33" s="32">
        <v>5</v>
      </c>
      <c r="Y33" s="32">
        <f>W33-X33</f>
        <v>40</v>
      </c>
    </row>
    <row r="34" spans="1:25" ht="14.5" x14ac:dyDescent="0.35">
      <c r="C34" s="22"/>
      <c r="D34" s="30"/>
      <c r="F34" s="9" t="s">
        <v>50</v>
      </c>
      <c r="I34" s="30" t="s">
        <v>126</v>
      </c>
      <c r="Q34" t="s">
        <v>127</v>
      </c>
      <c r="U34" s="9" t="s">
        <v>50</v>
      </c>
    </row>
    <row r="36" spans="1:25" ht="14.5" x14ac:dyDescent="0.35">
      <c r="A36" s="1" t="s">
        <v>128</v>
      </c>
      <c r="B36" s="1">
        <v>1</v>
      </c>
      <c r="C36" s="1">
        <v>2</v>
      </c>
      <c r="D36" s="1">
        <v>3</v>
      </c>
      <c r="E36" s="1">
        <v>4</v>
      </c>
      <c r="F36" s="1">
        <v>5</v>
      </c>
      <c r="G36" s="9">
        <v>6</v>
      </c>
      <c r="H36" s="1">
        <v>7</v>
      </c>
      <c r="I36" s="14">
        <v>8</v>
      </c>
      <c r="J36" s="1">
        <v>9</v>
      </c>
      <c r="K36" s="1" t="s">
        <v>9</v>
      </c>
      <c r="L36" s="1" t="s">
        <v>14</v>
      </c>
      <c r="M36" s="1" t="s">
        <v>20</v>
      </c>
      <c r="N36" s="11">
        <v>10</v>
      </c>
      <c r="O36" s="9">
        <v>11</v>
      </c>
      <c r="P36" s="11">
        <v>12</v>
      </c>
      <c r="Q36" s="1">
        <v>13</v>
      </c>
      <c r="R36" s="11">
        <v>14</v>
      </c>
      <c r="S36" s="11">
        <v>15</v>
      </c>
      <c r="T36" s="1">
        <v>16</v>
      </c>
      <c r="U36" s="11">
        <v>17</v>
      </c>
      <c r="V36" s="1">
        <v>18</v>
      </c>
      <c r="W36" s="1" t="s">
        <v>9</v>
      </c>
      <c r="X36" s="1" t="s">
        <v>14</v>
      </c>
      <c r="Y36" s="1" t="s">
        <v>20</v>
      </c>
    </row>
    <row r="37" spans="1:25" ht="14.5" x14ac:dyDescent="0.35">
      <c r="A37" s="1" t="s">
        <v>15</v>
      </c>
      <c r="B37" s="1">
        <v>5</v>
      </c>
      <c r="C37" s="1">
        <v>3</v>
      </c>
      <c r="D37" s="1">
        <v>4</v>
      </c>
      <c r="E37" s="1">
        <v>5</v>
      </c>
      <c r="F37" s="1">
        <v>4</v>
      </c>
      <c r="G37" s="9">
        <v>3</v>
      </c>
      <c r="H37" s="1">
        <v>4</v>
      </c>
      <c r="I37" s="14">
        <v>4</v>
      </c>
      <c r="J37" s="1">
        <v>4</v>
      </c>
      <c r="K37" s="1">
        <f>SUM(B37:J37)</f>
        <v>36</v>
      </c>
      <c r="L37" s="7"/>
      <c r="M37" s="7"/>
      <c r="N37" s="11">
        <v>5</v>
      </c>
      <c r="O37" s="9">
        <v>3</v>
      </c>
      <c r="P37" s="11">
        <v>4</v>
      </c>
      <c r="Q37" s="1">
        <v>4</v>
      </c>
      <c r="R37" s="11">
        <v>3</v>
      </c>
      <c r="S37" s="11">
        <v>4</v>
      </c>
      <c r="T37" s="1">
        <v>4</v>
      </c>
      <c r="U37" s="11">
        <v>4</v>
      </c>
      <c r="V37" s="1">
        <v>5</v>
      </c>
      <c r="W37" s="1">
        <f>SUM(N37:V37)</f>
        <v>36</v>
      </c>
      <c r="X37" s="8"/>
      <c r="Y37" s="7"/>
    </row>
    <row r="38" spans="1:25" ht="14.5" x14ac:dyDescent="0.35">
      <c r="A38" s="1" t="s">
        <v>1</v>
      </c>
      <c r="B38" s="5"/>
      <c r="C38" s="5"/>
      <c r="D38" s="5"/>
      <c r="E38" s="5"/>
      <c r="F38" s="5"/>
      <c r="G38" s="5"/>
      <c r="H38" s="5"/>
      <c r="I38" s="15"/>
      <c r="J38" s="5"/>
      <c r="K38" s="5"/>
      <c r="L38" s="5"/>
      <c r="M38" s="5"/>
      <c r="N38" s="12"/>
      <c r="O38" s="5"/>
      <c r="P38" s="12"/>
      <c r="Q38" s="5"/>
      <c r="R38" s="12"/>
      <c r="S38" s="12"/>
      <c r="T38" s="5"/>
      <c r="U38" s="12"/>
      <c r="V38" s="5"/>
      <c r="W38" s="5"/>
      <c r="X38" s="5"/>
      <c r="Y38" s="5"/>
    </row>
    <row r="39" spans="1:25" ht="14.5" x14ac:dyDescent="0.35">
      <c r="A39" s="1" t="s">
        <v>5</v>
      </c>
      <c r="B39" s="2">
        <v>7</v>
      </c>
      <c r="C39" s="2">
        <v>6</v>
      </c>
      <c r="D39" s="2">
        <v>8</v>
      </c>
      <c r="E39" s="2">
        <v>9</v>
      </c>
      <c r="F39" s="2">
        <v>5</v>
      </c>
      <c r="G39" s="10">
        <v>5</v>
      </c>
      <c r="H39" s="2">
        <v>8</v>
      </c>
      <c r="I39" s="16">
        <v>4</v>
      </c>
      <c r="J39" s="2">
        <v>7</v>
      </c>
      <c r="K39" s="1">
        <f>SUM(B39:J39)</f>
        <v>59</v>
      </c>
      <c r="L39" s="32">
        <v>21</v>
      </c>
      <c r="M39" s="32">
        <f>K39-L39</f>
        <v>38</v>
      </c>
      <c r="N39" s="13">
        <v>6</v>
      </c>
      <c r="O39" s="10">
        <v>4</v>
      </c>
      <c r="P39" s="13">
        <v>6</v>
      </c>
      <c r="Q39" s="2">
        <v>6</v>
      </c>
      <c r="R39" s="13">
        <v>5</v>
      </c>
      <c r="S39" s="13">
        <v>4</v>
      </c>
      <c r="T39" s="2">
        <v>8</v>
      </c>
      <c r="U39" s="13">
        <v>6</v>
      </c>
      <c r="V39" s="2">
        <v>7</v>
      </c>
      <c r="W39" s="1">
        <f>SUM(N39:V39)</f>
        <v>52</v>
      </c>
      <c r="X39" s="32">
        <v>21</v>
      </c>
      <c r="Y39" s="32">
        <f>W39-X39</f>
        <v>31</v>
      </c>
    </row>
    <row r="40" spans="1:25" ht="14.5" x14ac:dyDescent="0.35">
      <c r="A40" s="1" t="s">
        <v>8</v>
      </c>
      <c r="B40" s="2">
        <v>5</v>
      </c>
      <c r="C40" s="2">
        <v>6</v>
      </c>
      <c r="D40" s="2">
        <v>6</v>
      </c>
      <c r="E40" s="2">
        <v>9</v>
      </c>
      <c r="F40" s="2">
        <v>6</v>
      </c>
      <c r="G40" s="10">
        <v>5</v>
      </c>
      <c r="H40" s="2">
        <v>6</v>
      </c>
      <c r="I40" s="16">
        <v>6</v>
      </c>
      <c r="J40" s="2">
        <v>6</v>
      </c>
      <c r="K40" s="1">
        <f>SUM(B40:J40)</f>
        <v>55</v>
      </c>
      <c r="L40" s="32">
        <v>20</v>
      </c>
      <c r="M40" s="32">
        <f>K40-L40</f>
        <v>35</v>
      </c>
      <c r="N40" s="13">
        <v>9</v>
      </c>
      <c r="O40" s="10">
        <v>4</v>
      </c>
      <c r="P40" s="13">
        <v>7</v>
      </c>
      <c r="Q40" s="2">
        <v>7</v>
      </c>
      <c r="R40" s="13">
        <v>3</v>
      </c>
      <c r="S40" s="13">
        <v>5</v>
      </c>
      <c r="T40" s="2">
        <v>6</v>
      </c>
      <c r="U40" s="13">
        <v>6</v>
      </c>
      <c r="V40" s="2">
        <v>5</v>
      </c>
      <c r="W40" s="1">
        <f>SUM(N40:V40)</f>
        <v>52</v>
      </c>
      <c r="X40" s="32">
        <v>20</v>
      </c>
      <c r="Y40" s="32">
        <f>W40-X40</f>
        <v>32</v>
      </c>
    </row>
    <row r="41" spans="1:25" ht="14.5" x14ac:dyDescent="0.35">
      <c r="A41" s="1" t="s">
        <v>0</v>
      </c>
      <c r="B41" s="2">
        <v>6</v>
      </c>
      <c r="C41" s="2">
        <v>5</v>
      </c>
      <c r="D41" s="2">
        <v>7</v>
      </c>
      <c r="E41" s="2">
        <v>5</v>
      </c>
      <c r="F41" s="2">
        <v>8</v>
      </c>
      <c r="G41" s="10">
        <v>4</v>
      </c>
      <c r="H41" s="2">
        <v>7</v>
      </c>
      <c r="I41" s="16">
        <v>6</v>
      </c>
      <c r="J41" s="2">
        <v>4</v>
      </c>
      <c r="K41" s="1">
        <f>SUM(B41:J41)</f>
        <v>52</v>
      </c>
      <c r="L41" s="32">
        <v>18</v>
      </c>
      <c r="M41" s="32">
        <f>K41-L41</f>
        <v>34</v>
      </c>
      <c r="N41" s="13">
        <v>14</v>
      </c>
      <c r="O41" s="10">
        <v>4</v>
      </c>
      <c r="P41" s="13">
        <v>6</v>
      </c>
      <c r="Q41" s="2">
        <v>9</v>
      </c>
      <c r="R41" s="13">
        <v>4</v>
      </c>
      <c r="S41" s="13">
        <v>5</v>
      </c>
      <c r="T41" s="2">
        <v>6</v>
      </c>
      <c r="U41" s="13">
        <v>6</v>
      </c>
      <c r="V41" s="2">
        <v>7</v>
      </c>
      <c r="W41" s="1">
        <f>SUM(N41:V41)</f>
        <v>61</v>
      </c>
      <c r="X41" s="32">
        <v>18</v>
      </c>
      <c r="Y41" s="32">
        <f>W41-X41</f>
        <v>43</v>
      </c>
    </row>
    <row r="42" spans="1:25" ht="14.5" x14ac:dyDescent="0.35">
      <c r="A42" s="1" t="s">
        <v>2</v>
      </c>
      <c r="B42" s="2">
        <v>6</v>
      </c>
      <c r="C42" s="2">
        <v>4</v>
      </c>
      <c r="D42" s="2">
        <v>4</v>
      </c>
      <c r="E42" s="2">
        <v>6</v>
      </c>
      <c r="F42" s="2">
        <v>5</v>
      </c>
      <c r="G42" s="10">
        <v>4</v>
      </c>
      <c r="H42" s="2">
        <v>5</v>
      </c>
      <c r="I42" s="16">
        <v>5</v>
      </c>
      <c r="J42" s="2">
        <v>4</v>
      </c>
      <c r="K42" s="1">
        <f>SUM(B42:J42)</f>
        <v>43</v>
      </c>
      <c r="L42" s="32">
        <v>5</v>
      </c>
      <c r="M42" s="32">
        <f>K42-L42</f>
        <v>38</v>
      </c>
      <c r="N42" s="13">
        <v>5</v>
      </c>
      <c r="O42" s="10">
        <v>4</v>
      </c>
      <c r="P42" s="13">
        <v>7</v>
      </c>
      <c r="Q42" s="2">
        <v>4</v>
      </c>
      <c r="R42" s="13">
        <v>5</v>
      </c>
      <c r="S42" s="13">
        <v>5</v>
      </c>
      <c r="T42" s="2">
        <v>4</v>
      </c>
      <c r="U42" s="13">
        <v>9</v>
      </c>
      <c r="V42" s="2">
        <v>6</v>
      </c>
      <c r="W42" s="1">
        <f>SUM(N42:V42)</f>
        <v>49</v>
      </c>
      <c r="X42" s="32">
        <v>5</v>
      </c>
      <c r="Y42" s="32">
        <f>W42-X42</f>
        <v>44</v>
      </c>
    </row>
    <row r="43" spans="1:25" ht="14.5" x14ac:dyDescent="0.35">
      <c r="A43" s="1" t="s">
        <v>103</v>
      </c>
      <c r="B43" s="2">
        <v>5</v>
      </c>
      <c r="C43" s="2">
        <v>4</v>
      </c>
      <c r="D43" s="2">
        <v>6</v>
      </c>
      <c r="E43" s="2">
        <v>7</v>
      </c>
      <c r="F43" s="2">
        <v>5</v>
      </c>
      <c r="G43" s="10">
        <v>4</v>
      </c>
      <c r="H43" s="2">
        <v>5</v>
      </c>
      <c r="I43" s="16">
        <v>5</v>
      </c>
      <c r="J43" s="2">
        <v>5</v>
      </c>
      <c r="K43" s="1">
        <f>SUM(B43:J43)</f>
        <v>46</v>
      </c>
      <c r="L43" s="32">
        <v>7</v>
      </c>
      <c r="M43" s="32">
        <f>K43-L43</f>
        <v>39</v>
      </c>
      <c r="N43" s="13">
        <v>4</v>
      </c>
      <c r="O43" s="10">
        <v>3</v>
      </c>
      <c r="P43" s="13">
        <v>4</v>
      </c>
      <c r="Q43" s="2">
        <v>5</v>
      </c>
      <c r="R43" s="13">
        <v>3</v>
      </c>
      <c r="S43" s="13">
        <v>4</v>
      </c>
      <c r="T43" s="2">
        <v>4</v>
      </c>
      <c r="U43" s="13">
        <v>7</v>
      </c>
      <c r="V43" s="2">
        <v>5</v>
      </c>
      <c r="W43" s="1">
        <f>SUM(N43:V43)</f>
        <v>39</v>
      </c>
      <c r="X43" s="32">
        <v>7</v>
      </c>
      <c r="Y43" s="32">
        <f>W43-X43</f>
        <v>32</v>
      </c>
    </row>
    <row r="44" spans="1:25" ht="14.5" x14ac:dyDescent="0.35">
      <c r="A44" s="1" t="s">
        <v>3</v>
      </c>
      <c r="B44" s="2">
        <v>5</v>
      </c>
      <c r="C44" s="2">
        <v>4</v>
      </c>
      <c r="D44" s="2">
        <v>5</v>
      </c>
      <c r="E44" s="2">
        <v>5</v>
      </c>
      <c r="F44" s="2">
        <v>5</v>
      </c>
      <c r="G44" s="10">
        <v>3</v>
      </c>
      <c r="H44" s="2">
        <v>9</v>
      </c>
      <c r="I44" s="16">
        <v>5</v>
      </c>
      <c r="J44" s="2">
        <v>6</v>
      </c>
      <c r="K44" s="1">
        <f>SUM(B44:J44)</f>
        <v>47</v>
      </c>
      <c r="L44" s="32">
        <v>7</v>
      </c>
      <c r="M44" s="32">
        <f>K44-L44</f>
        <v>40</v>
      </c>
      <c r="N44" s="13">
        <v>6</v>
      </c>
      <c r="O44" s="10">
        <v>3</v>
      </c>
      <c r="P44" s="13">
        <v>4</v>
      </c>
      <c r="Q44" s="2">
        <v>5</v>
      </c>
      <c r="R44" s="13">
        <v>4</v>
      </c>
      <c r="S44" s="13">
        <v>4</v>
      </c>
      <c r="T44" s="2">
        <v>5</v>
      </c>
      <c r="U44" s="13">
        <v>5</v>
      </c>
      <c r="V44" s="2">
        <v>5</v>
      </c>
      <c r="W44" s="1">
        <f>SUM(N44:V44)</f>
        <v>41</v>
      </c>
      <c r="X44" s="32">
        <v>7</v>
      </c>
      <c r="Y44" s="32">
        <f>W44-X44</f>
        <v>34</v>
      </c>
    </row>
    <row r="45" spans="1:25" ht="14.5" x14ac:dyDescent="0.35">
      <c r="A45" s="1" t="s">
        <v>4</v>
      </c>
      <c r="B45" s="2">
        <v>6</v>
      </c>
      <c r="C45" s="2">
        <v>4</v>
      </c>
      <c r="D45" s="2">
        <v>4</v>
      </c>
      <c r="E45" s="2">
        <v>4</v>
      </c>
      <c r="F45" s="2">
        <v>5</v>
      </c>
      <c r="G45" s="10">
        <v>5</v>
      </c>
      <c r="H45" s="2">
        <v>6</v>
      </c>
      <c r="I45" s="16">
        <v>7</v>
      </c>
      <c r="J45" s="2">
        <v>5</v>
      </c>
      <c r="K45" s="1">
        <f>SUM(B45:J45)</f>
        <v>46</v>
      </c>
      <c r="L45" s="32">
        <v>7</v>
      </c>
      <c r="M45" s="32">
        <f>K45-L45</f>
        <v>39</v>
      </c>
      <c r="N45" s="13">
        <v>6</v>
      </c>
      <c r="O45" s="10">
        <v>4</v>
      </c>
      <c r="P45" s="13">
        <v>4</v>
      </c>
      <c r="Q45" s="2">
        <v>7</v>
      </c>
      <c r="R45" s="13">
        <v>5</v>
      </c>
      <c r="S45" s="13">
        <v>4</v>
      </c>
      <c r="T45" s="2">
        <v>5</v>
      </c>
      <c r="U45" s="13">
        <v>6</v>
      </c>
      <c r="V45" s="2">
        <v>5</v>
      </c>
      <c r="W45" s="1">
        <f>SUM(N45:V45)</f>
        <v>46</v>
      </c>
      <c r="X45" s="32">
        <v>7</v>
      </c>
      <c r="Y45" s="32">
        <f>W45-X45</f>
        <v>39</v>
      </c>
    </row>
    <row r="46" spans="1:25" ht="14.5" x14ac:dyDescent="0.35">
      <c r="A46" s="1" t="s">
        <v>7</v>
      </c>
      <c r="B46" s="2">
        <v>5</v>
      </c>
      <c r="C46" s="2">
        <v>3</v>
      </c>
      <c r="D46" s="2">
        <v>5</v>
      </c>
      <c r="E46" s="2">
        <v>5</v>
      </c>
      <c r="F46" s="2">
        <v>5</v>
      </c>
      <c r="G46" s="10">
        <v>3</v>
      </c>
      <c r="H46" s="2">
        <v>9</v>
      </c>
      <c r="I46" s="16">
        <v>5</v>
      </c>
      <c r="J46" s="2">
        <v>4</v>
      </c>
      <c r="K46" s="1">
        <f>SUM(B46:J46)</f>
        <v>44</v>
      </c>
      <c r="L46" s="32">
        <v>5</v>
      </c>
      <c r="M46" s="32">
        <f>K46-L46</f>
        <v>39</v>
      </c>
      <c r="N46" s="13">
        <v>4</v>
      </c>
      <c r="O46" s="10">
        <v>3</v>
      </c>
      <c r="P46" s="13">
        <v>5</v>
      </c>
      <c r="Q46" s="2">
        <v>4</v>
      </c>
      <c r="R46" s="13">
        <v>3</v>
      </c>
      <c r="S46" s="13">
        <v>4</v>
      </c>
      <c r="T46" s="2">
        <v>4</v>
      </c>
      <c r="U46" s="13">
        <v>4</v>
      </c>
      <c r="V46" s="2">
        <v>5</v>
      </c>
      <c r="W46" s="1">
        <f>SUM(N46:V46)</f>
        <v>36</v>
      </c>
      <c r="X46" s="32">
        <v>5</v>
      </c>
      <c r="Y46" s="32">
        <f>W46-X46</f>
        <v>31</v>
      </c>
    </row>
    <row r="47" spans="1:25" ht="14.5" x14ac:dyDescent="0.35">
      <c r="C47" t="s">
        <v>129</v>
      </c>
      <c r="G47" s="9" t="s">
        <v>38</v>
      </c>
      <c r="O47" s="9" t="s">
        <v>89</v>
      </c>
      <c r="R47" t="s">
        <v>50</v>
      </c>
      <c r="T47" s="22"/>
    </row>
    <row r="49" spans="1:25" ht="14.5" x14ac:dyDescent="0.35">
      <c r="A49" s="1"/>
      <c r="B49" s="1">
        <v>1</v>
      </c>
      <c r="C49" s="1">
        <v>2</v>
      </c>
      <c r="D49" s="1">
        <v>3</v>
      </c>
      <c r="E49" s="1">
        <v>4</v>
      </c>
      <c r="F49" s="1">
        <v>5</v>
      </c>
      <c r="G49" s="1">
        <v>6</v>
      </c>
      <c r="H49" s="9">
        <v>7</v>
      </c>
      <c r="I49" s="14">
        <v>8</v>
      </c>
      <c r="J49" s="1">
        <v>9</v>
      </c>
      <c r="K49" s="1" t="s">
        <v>9</v>
      </c>
      <c r="L49" s="1" t="s">
        <v>14</v>
      </c>
      <c r="M49" s="1" t="s">
        <v>20</v>
      </c>
      <c r="N49" s="1">
        <v>10</v>
      </c>
      <c r="O49" s="1">
        <v>11</v>
      </c>
      <c r="P49" s="1">
        <v>12</v>
      </c>
      <c r="Q49" s="1">
        <v>13</v>
      </c>
      <c r="R49" s="14">
        <v>14</v>
      </c>
      <c r="S49" s="1">
        <v>15</v>
      </c>
      <c r="T49" s="1">
        <v>16</v>
      </c>
      <c r="U49" s="9">
        <v>17</v>
      </c>
      <c r="V49" s="1">
        <v>18</v>
      </c>
      <c r="W49" s="1" t="s">
        <v>9</v>
      </c>
      <c r="X49" s="1" t="s">
        <v>14</v>
      </c>
      <c r="Y49" s="1" t="s">
        <v>20</v>
      </c>
    </row>
    <row r="50" spans="1:25" ht="14.5" x14ac:dyDescent="0.35">
      <c r="A50" s="1" t="s">
        <v>15</v>
      </c>
      <c r="B50" s="1">
        <v>4</v>
      </c>
      <c r="C50" s="1">
        <v>3</v>
      </c>
      <c r="D50" s="1">
        <v>5</v>
      </c>
      <c r="E50" s="1">
        <v>4</v>
      </c>
      <c r="F50" s="1">
        <v>5</v>
      </c>
      <c r="G50" s="1">
        <v>4</v>
      </c>
      <c r="H50" s="9">
        <v>3</v>
      </c>
      <c r="I50" s="14">
        <v>4</v>
      </c>
      <c r="J50" s="1">
        <v>4</v>
      </c>
      <c r="K50" s="1">
        <f>SUM(B50:J50)</f>
        <v>36</v>
      </c>
      <c r="L50" s="7"/>
      <c r="M50" s="7"/>
      <c r="N50" s="1">
        <v>5</v>
      </c>
      <c r="O50" s="1">
        <v>3</v>
      </c>
      <c r="P50" s="1">
        <v>4</v>
      </c>
      <c r="Q50" s="1">
        <v>4</v>
      </c>
      <c r="R50" s="14">
        <v>4</v>
      </c>
      <c r="S50" s="1">
        <v>3</v>
      </c>
      <c r="T50" s="1">
        <v>4</v>
      </c>
      <c r="U50" s="9">
        <v>3</v>
      </c>
      <c r="V50" s="1">
        <v>5</v>
      </c>
      <c r="W50" s="1">
        <f>SUM(N50:V50)</f>
        <v>35</v>
      </c>
      <c r="X50" s="8"/>
      <c r="Y50" s="7"/>
    </row>
    <row r="51" spans="1:25" ht="14.5" x14ac:dyDescent="0.35">
      <c r="A51" s="1" t="s">
        <v>1</v>
      </c>
      <c r="B51" s="5"/>
      <c r="C51" s="5"/>
      <c r="D51" s="5"/>
      <c r="E51" s="5"/>
      <c r="F51" s="5"/>
      <c r="G51" s="5"/>
      <c r="H51" s="5"/>
      <c r="I51" s="15"/>
      <c r="J51" s="5"/>
      <c r="K51" s="5"/>
      <c r="L51" s="5"/>
      <c r="M51" s="5"/>
      <c r="N51" s="5"/>
      <c r="O51" s="5"/>
      <c r="P51" s="5"/>
      <c r="Q51" s="5"/>
      <c r="R51" s="15"/>
      <c r="S51" s="5"/>
      <c r="T51" s="5"/>
      <c r="U51" s="5"/>
      <c r="V51" s="5"/>
      <c r="W51" s="5"/>
      <c r="X51" s="5"/>
      <c r="Y51" s="5"/>
    </row>
    <row r="52" spans="1:25" ht="14.5" x14ac:dyDescent="0.35">
      <c r="A52" s="1" t="s">
        <v>5</v>
      </c>
      <c r="B52" s="2"/>
      <c r="C52" s="2"/>
      <c r="D52" s="2"/>
      <c r="E52" s="2"/>
      <c r="F52" s="2"/>
      <c r="G52" s="2"/>
      <c r="H52" s="10"/>
      <c r="I52" s="16"/>
      <c r="J52" s="2"/>
      <c r="K52" s="1">
        <f>SUM(B52:J52)</f>
        <v>0</v>
      </c>
      <c r="L52" s="32">
        <v>21</v>
      </c>
      <c r="M52" s="32">
        <f>K52-L52</f>
        <v>-21</v>
      </c>
      <c r="N52" s="2"/>
      <c r="O52" s="2"/>
      <c r="P52" s="2"/>
      <c r="Q52" s="2"/>
      <c r="R52" s="16"/>
      <c r="S52" s="2"/>
      <c r="T52" s="2"/>
      <c r="U52" s="10"/>
      <c r="V52" s="2"/>
      <c r="W52" s="1">
        <f>SUM(N52:V52)</f>
        <v>0</v>
      </c>
      <c r="X52" s="32">
        <v>21</v>
      </c>
      <c r="Y52" s="32">
        <f>W52-X52</f>
        <v>-21</v>
      </c>
    </row>
    <row r="53" spans="1:25" ht="14.5" x14ac:dyDescent="0.35">
      <c r="A53" s="1" t="s">
        <v>8</v>
      </c>
      <c r="B53" s="2"/>
      <c r="C53" s="2"/>
      <c r="D53" s="2"/>
      <c r="E53" s="2"/>
      <c r="F53" s="2"/>
      <c r="G53" s="2"/>
      <c r="H53" s="10"/>
      <c r="I53" s="16"/>
      <c r="J53" s="2"/>
      <c r="K53" s="1">
        <f>SUM(B53:J53)</f>
        <v>0</v>
      </c>
      <c r="L53" s="32">
        <v>20</v>
      </c>
      <c r="M53" s="32">
        <f>K53-L53</f>
        <v>-20</v>
      </c>
      <c r="N53" s="2"/>
      <c r="O53" s="2"/>
      <c r="P53" s="2"/>
      <c r="Q53" s="2"/>
      <c r="R53" s="16"/>
      <c r="S53" s="2"/>
      <c r="T53" s="2"/>
      <c r="U53" s="10"/>
      <c r="V53" s="2"/>
      <c r="W53" s="1">
        <f>SUM(N53:V53)</f>
        <v>0</v>
      </c>
      <c r="X53" s="32">
        <v>20</v>
      </c>
      <c r="Y53" s="32">
        <f>W53-X53</f>
        <v>-20</v>
      </c>
    </row>
    <row r="54" spans="1:25" ht="14.5" x14ac:dyDescent="0.35">
      <c r="A54" s="1" t="s">
        <v>0</v>
      </c>
      <c r="B54" s="2"/>
      <c r="C54" s="2"/>
      <c r="D54" s="2"/>
      <c r="E54" s="2"/>
      <c r="F54" s="2"/>
      <c r="G54" s="2"/>
      <c r="H54" s="10"/>
      <c r="I54" s="16"/>
      <c r="J54" s="2"/>
      <c r="K54" s="1">
        <f>SUM(B54:J54)</f>
        <v>0</v>
      </c>
      <c r="L54" s="32">
        <v>18</v>
      </c>
      <c r="M54" s="32">
        <f>K54-L54</f>
        <v>-18</v>
      </c>
      <c r="N54" s="2"/>
      <c r="O54" s="2"/>
      <c r="P54" s="2"/>
      <c r="Q54" s="2"/>
      <c r="R54" s="16"/>
      <c r="S54" s="2"/>
      <c r="T54" s="2"/>
      <c r="U54" s="10"/>
      <c r="V54" s="2"/>
      <c r="W54" s="1">
        <f>SUM(N54:V54)</f>
        <v>0</v>
      </c>
      <c r="X54" s="32">
        <v>18</v>
      </c>
      <c r="Y54" s="32">
        <f>W54-X54</f>
        <v>-18</v>
      </c>
    </row>
    <row r="55" spans="1:25" ht="14.5" x14ac:dyDescent="0.35">
      <c r="A55" s="1" t="s">
        <v>2</v>
      </c>
      <c r="B55" s="2"/>
      <c r="C55" s="2"/>
      <c r="D55" s="2"/>
      <c r="E55" s="2"/>
      <c r="F55" s="2"/>
      <c r="G55" s="2"/>
      <c r="H55" s="10"/>
      <c r="I55" s="16"/>
      <c r="J55" s="2"/>
      <c r="K55" s="1">
        <f>SUM(B55:J55)</f>
        <v>0</v>
      </c>
      <c r="L55" s="32">
        <v>5</v>
      </c>
      <c r="M55" s="32">
        <f>K55-L55</f>
        <v>-5</v>
      </c>
      <c r="N55" s="2"/>
      <c r="O55" s="2"/>
      <c r="P55" s="2"/>
      <c r="Q55" s="2"/>
      <c r="R55" s="16"/>
      <c r="S55" s="2"/>
      <c r="T55" s="2"/>
      <c r="U55" s="10"/>
      <c r="V55" s="2"/>
      <c r="W55" s="1">
        <f>SUM(N55:V55)</f>
        <v>0</v>
      </c>
      <c r="X55" s="32">
        <v>5</v>
      </c>
      <c r="Y55" s="32">
        <f>W55-X55</f>
        <v>-5</v>
      </c>
    </row>
    <row r="56" spans="1:25" ht="14.5" x14ac:dyDescent="0.35">
      <c r="A56" s="1" t="s">
        <v>103</v>
      </c>
      <c r="B56" s="2"/>
      <c r="C56" s="2"/>
      <c r="D56" s="2"/>
      <c r="E56" s="2"/>
      <c r="F56" s="2"/>
      <c r="G56" s="2"/>
      <c r="H56" s="10"/>
      <c r="I56" s="16"/>
      <c r="J56" s="2"/>
      <c r="K56" s="1">
        <f>SUM(B56:J56)</f>
        <v>0</v>
      </c>
      <c r="L56" s="32">
        <v>7</v>
      </c>
      <c r="M56" s="32">
        <f>K56-L56</f>
        <v>-7</v>
      </c>
      <c r="N56" s="2"/>
      <c r="O56" s="2"/>
      <c r="P56" s="2"/>
      <c r="Q56" s="2"/>
      <c r="R56" s="16"/>
      <c r="S56" s="2"/>
      <c r="T56" s="2"/>
      <c r="U56" s="10"/>
      <c r="V56" s="2"/>
      <c r="W56" s="1">
        <f>SUM(N56:V56)</f>
        <v>0</v>
      </c>
      <c r="X56" s="32">
        <v>7</v>
      </c>
      <c r="Y56" s="32">
        <f>W56-X56</f>
        <v>-7</v>
      </c>
    </row>
    <row r="57" spans="1:25" ht="14.5" x14ac:dyDescent="0.35">
      <c r="A57" s="1" t="s">
        <v>3</v>
      </c>
      <c r="B57" s="2"/>
      <c r="C57" s="2"/>
      <c r="D57" s="2"/>
      <c r="E57" s="2"/>
      <c r="F57" s="2"/>
      <c r="G57" s="2"/>
      <c r="H57" s="10"/>
      <c r="I57" s="16"/>
      <c r="J57" s="2"/>
      <c r="K57" s="1">
        <f>SUM(B57:J57)</f>
        <v>0</v>
      </c>
      <c r="L57" s="32">
        <v>7</v>
      </c>
      <c r="M57" s="32">
        <f>K57-L57</f>
        <v>-7</v>
      </c>
      <c r="N57" s="2"/>
      <c r="O57" s="2"/>
      <c r="P57" s="2"/>
      <c r="Q57" s="2"/>
      <c r="R57" s="16"/>
      <c r="S57" s="2"/>
      <c r="T57" s="2"/>
      <c r="U57" s="10"/>
      <c r="V57" s="2"/>
      <c r="W57" s="1">
        <f>SUM(N57:V57)</f>
        <v>0</v>
      </c>
      <c r="X57" s="32">
        <v>7</v>
      </c>
      <c r="Y57" s="32">
        <f>W57-X57</f>
        <v>-7</v>
      </c>
    </row>
    <row r="58" spans="1:25" ht="14.5" x14ac:dyDescent="0.35">
      <c r="A58" s="1" t="s">
        <v>4</v>
      </c>
      <c r="B58" s="2"/>
      <c r="C58" s="2"/>
      <c r="D58" s="2"/>
      <c r="E58" s="2"/>
      <c r="F58" s="2"/>
      <c r="G58" s="2"/>
      <c r="H58" s="10"/>
      <c r="I58" s="16"/>
      <c r="J58" s="2"/>
      <c r="K58" s="1">
        <f>SUM(B58:J58)</f>
        <v>0</v>
      </c>
      <c r="L58" s="32">
        <v>7</v>
      </c>
      <c r="M58" s="32">
        <f>K58-L58</f>
        <v>-7</v>
      </c>
      <c r="N58" s="2"/>
      <c r="O58" s="2"/>
      <c r="P58" s="2"/>
      <c r="Q58" s="2"/>
      <c r="R58" s="16"/>
      <c r="S58" s="2"/>
      <c r="T58" s="2"/>
      <c r="U58" s="10"/>
      <c r="V58" s="2"/>
      <c r="W58" s="1">
        <f>SUM(N58:V58)</f>
        <v>0</v>
      </c>
      <c r="X58" s="32">
        <v>7</v>
      </c>
      <c r="Y58" s="32">
        <f>W58-X58</f>
        <v>-7</v>
      </c>
    </row>
    <row r="59" spans="1:25" ht="14.5" x14ac:dyDescent="0.35">
      <c r="A59" s="1" t="s">
        <v>7</v>
      </c>
      <c r="B59" s="2"/>
      <c r="C59" s="2"/>
      <c r="D59" s="2"/>
      <c r="E59" s="2"/>
      <c r="F59" s="2"/>
      <c r="G59" s="2"/>
      <c r="H59" s="10"/>
      <c r="I59" s="16"/>
      <c r="J59" s="2"/>
      <c r="K59" s="1">
        <f>SUM(B59:J59)</f>
        <v>0</v>
      </c>
      <c r="L59" s="32">
        <v>5</v>
      </c>
      <c r="M59" s="32">
        <f>K59-L59</f>
        <v>-5</v>
      </c>
      <c r="N59" s="2"/>
      <c r="O59" s="2"/>
      <c r="P59" s="2"/>
      <c r="Q59" s="2"/>
      <c r="R59" s="16"/>
      <c r="S59" s="2"/>
      <c r="T59" s="2"/>
      <c r="U59" s="10"/>
      <c r="V59" s="2"/>
      <c r="W59" s="1">
        <f>SUM(N59:V59)</f>
        <v>0</v>
      </c>
      <c r="X59" s="32">
        <v>5</v>
      </c>
      <c r="Y59" s="32">
        <f>W59-X59</f>
        <v>-5</v>
      </c>
    </row>
    <row r="60" spans="1:25" ht="14.5" x14ac:dyDescent="0.35">
      <c r="C60" t="s">
        <v>63</v>
      </c>
      <c r="D60" s="22"/>
      <c r="E60" s="22"/>
      <c r="F60" s="22"/>
      <c r="G60" s="22"/>
      <c r="H60" s="9" t="s">
        <v>121</v>
      </c>
      <c r="O60" t="s">
        <v>122</v>
      </c>
      <c r="S60" t="s">
        <v>68</v>
      </c>
      <c r="T60" s="22"/>
      <c r="U60" s="9" t="s">
        <v>123</v>
      </c>
    </row>
  </sheetData>
  <mergeCells count="3">
    <mergeCell ref="A12:N12"/>
    <mergeCell ref="P12:Q12"/>
    <mergeCell ref="T12:Z12"/>
  </mergeCell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F14B1-9F91-4A2F-8E48-DFF1E78199D3}">
  <sheetPr>
    <outlinePr showOutlineSymbols="0"/>
  </sheetPr>
  <dimension ref="A1:Z60"/>
  <sheetViews>
    <sheetView showOutlineSymbols="0" topLeftCell="A22" zoomScale="74" zoomScaleNormal="60" workbookViewId="0">
      <selection activeCell="V51" sqref="V51"/>
    </sheetView>
  </sheetViews>
  <sheetFormatPr defaultRowHeight="14.5" outlineLevelRow="1" outlineLevelCol="2" x14ac:dyDescent="0.35"/>
  <cols>
    <col min="1" max="1" width="10.81640625" bestFit="1" customWidth="1"/>
    <col min="2" max="2" width="11.54296875" bestFit="1" customWidth="1" outlineLevel="2"/>
    <col min="3" max="10" width="8.7265625" outlineLevel="2"/>
    <col min="11" max="12" width="8.7265625" outlineLevel="1"/>
    <col min="14" max="22" width="8.7265625" outlineLevel="2"/>
    <col min="23" max="24" width="8.7265625" outlineLevel="1"/>
  </cols>
  <sheetData>
    <row r="1" spans="1:26" x14ac:dyDescent="0.35">
      <c r="A1" s="19" t="s">
        <v>1</v>
      </c>
      <c r="B1" t="s">
        <v>43</v>
      </c>
    </row>
    <row r="2" spans="1:26" x14ac:dyDescent="0.35">
      <c r="A2" s="20" t="s">
        <v>103</v>
      </c>
      <c r="B2">
        <v>34.5</v>
      </c>
    </row>
    <row r="3" spans="1:26" x14ac:dyDescent="0.35">
      <c r="A3" s="20" t="s">
        <v>8</v>
      </c>
      <c r="B3">
        <v>34</v>
      </c>
    </row>
    <row r="4" spans="1:26" x14ac:dyDescent="0.35">
      <c r="A4" s="20" t="s">
        <v>5</v>
      </c>
      <c r="B4">
        <v>33</v>
      </c>
    </row>
    <row r="5" spans="1:26" x14ac:dyDescent="0.35">
      <c r="A5" s="20" t="s">
        <v>2</v>
      </c>
      <c r="B5">
        <v>32</v>
      </c>
    </row>
    <row r="6" spans="1:26" x14ac:dyDescent="0.35">
      <c r="A6" s="20" t="s">
        <v>3</v>
      </c>
      <c r="B6">
        <v>27</v>
      </c>
    </row>
    <row r="7" spans="1:26" x14ac:dyDescent="0.35">
      <c r="A7" s="20" t="s">
        <v>4</v>
      </c>
      <c r="B7">
        <v>25.5</v>
      </c>
    </row>
    <row r="8" spans="1:26" x14ac:dyDescent="0.35">
      <c r="A8" s="20" t="s">
        <v>0</v>
      </c>
      <c r="B8">
        <v>24</v>
      </c>
    </row>
    <row r="9" spans="1:26" x14ac:dyDescent="0.35">
      <c r="A9" s="20" t="s">
        <v>7</v>
      </c>
      <c r="B9">
        <v>6</v>
      </c>
    </row>
    <row r="10" spans="1:26" x14ac:dyDescent="0.35">
      <c r="A10" s="20" t="s">
        <v>42</v>
      </c>
      <c r="B10">
        <v>216</v>
      </c>
    </row>
    <row r="11" spans="1:26" x14ac:dyDescent="0.35">
      <c r="U11" t="s">
        <v>118</v>
      </c>
    </row>
    <row r="12" spans="1:26" x14ac:dyDescent="0.35">
      <c r="A12" s="44" t="s">
        <v>59</v>
      </c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P12" s="45" t="s">
        <v>27</v>
      </c>
      <c r="Q12" s="46"/>
      <c r="R12" s="17" t="s">
        <v>36</v>
      </c>
      <c r="T12" s="44" t="s">
        <v>37</v>
      </c>
      <c r="U12" s="44"/>
      <c r="V12" s="44"/>
      <c r="W12" s="44"/>
      <c r="X12" s="44"/>
      <c r="Y12" s="44"/>
      <c r="Z12" s="44"/>
    </row>
    <row r="13" spans="1:26" x14ac:dyDescent="0.35">
      <c r="A13" s="1" t="s">
        <v>1</v>
      </c>
      <c r="B13" s="1" t="s">
        <v>12</v>
      </c>
      <c r="C13" s="1" t="s">
        <v>27</v>
      </c>
      <c r="D13" s="1" t="s">
        <v>13</v>
      </c>
      <c r="E13" s="1" t="s">
        <v>27</v>
      </c>
      <c r="F13" s="1" t="s">
        <v>23</v>
      </c>
      <c r="G13" s="1" t="s">
        <v>27</v>
      </c>
      <c r="H13" s="1" t="s">
        <v>24</v>
      </c>
      <c r="I13" s="1" t="s">
        <v>27</v>
      </c>
      <c r="J13" s="1" t="s">
        <v>25</v>
      </c>
      <c r="K13" s="1" t="s">
        <v>27</v>
      </c>
      <c r="L13" s="1" t="s">
        <v>26</v>
      </c>
      <c r="M13" s="1" t="s">
        <v>27</v>
      </c>
      <c r="N13" s="1" t="s">
        <v>9</v>
      </c>
      <c r="P13" s="1" t="s">
        <v>28</v>
      </c>
      <c r="Q13" s="2">
        <v>8</v>
      </c>
      <c r="T13" s="1" t="s">
        <v>1</v>
      </c>
      <c r="U13" s="1" t="s">
        <v>12</v>
      </c>
      <c r="V13" s="1" t="s">
        <v>13</v>
      </c>
      <c r="W13" s="1" t="s">
        <v>23</v>
      </c>
      <c r="X13" s="1" t="s">
        <v>24</v>
      </c>
      <c r="Y13" s="1" t="s">
        <v>25</v>
      </c>
      <c r="Z13" s="1" t="s">
        <v>26</v>
      </c>
    </row>
    <row r="14" spans="1:26" x14ac:dyDescent="0.35">
      <c r="A14" s="1" t="s">
        <v>5</v>
      </c>
      <c r="B14" s="33">
        <f>M26</f>
        <v>38</v>
      </c>
      <c r="C14" s="3">
        <v>3</v>
      </c>
      <c r="D14" s="33">
        <f t="shared" ref="D14:D21" si="0">Y26</f>
        <v>35</v>
      </c>
      <c r="E14" s="33">
        <v>6</v>
      </c>
      <c r="F14" s="33">
        <f>M39</f>
        <v>34</v>
      </c>
      <c r="G14" s="3">
        <v>6</v>
      </c>
      <c r="H14" s="33">
        <f>Y39</f>
        <v>32</v>
      </c>
      <c r="I14" s="33">
        <v>6</v>
      </c>
      <c r="J14" s="33">
        <f>M52</f>
        <v>36</v>
      </c>
      <c r="K14" s="33">
        <v>4</v>
      </c>
      <c r="L14" s="33">
        <f>Y52</f>
        <v>19</v>
      </c>
      <c r="M14" s="2">
        <v>8</v>
      </c>
      <c r="N14" s="18">
        <f t="shared" ref="N14:N21" si="1">C14+E14+G14+I14+K14+M14</f>
        <v>33</v>
      </c>
      <c r="P14" s="1" t="s">
        <v>29</v>
      </c>
      <c r="Q14" s="2">
        <v>7</v>
      </c>
      <c r="T14" s="1" t="s">
        <v>5</v>
      </c>
      <c r="U14" s="2" t="s">
        <v>40</v>
      </c>
      <c r="V14" s="2" t="s">
        <v>40</v>
      </c>
      <c r="W14" s="3" t="s">
        <v>40</v>
      </c>
      <c r="X14" s="3" t="s">
        <v>40</v>
      </c>
      <c r="Y14" s="2" t="s">
        <v>40</v>
      </c>
      <c r="Z14" s="2" t="s">
        <v>40</v>
      </c>
    </row>
    <row r="15" spans="1:26" x14ac:dyDescent="0.35">
      <c r="A15" s="1" t="s">
        <v>8</v>
      </c>
      <c r="B15" s="33">
        <f t="shared" ref="B15:B20" si="2">M27</f>
        <v>35</v>
      </c>
      <c r="C15" s="3">
        <v>6.5</v>
      </c>
      <c r="D15" s="33">
        <f t="shared" si="0"/>
        <v>37</v>
      </c>
      <c r="E15" s="33">
        <v>5</v>
      </c>
      <c r="F15" s="33">
        <f t="shared" ref="F15:F21" si="3">M40</f>
        <v>35</v>
      </c>
      <c r="G15" s="3">
        <v>5</v>
      </c>
      <c r="H15" s="33">
        <f>Y40</f>
        <v>36</v>
      </c>
      <c r="I15" s="33">
        <v>4</v>
      </c>
      <c r="J15" s="33">
        <f t="shared" ref="J15:J21" si="4">M53</f>
        <v>31</v>
      </c>
      <c r="K15" s="33">
        <v>8</v>
      </c>
      <c r="L15" s="33">
        <f t="shared" ref="L15:L21" si="5">Y53</f>
        <v>29</v>
      </c>
      <c r="M15" s="2">
        <v>5.5</v>
      </c>
      <c r="N15" s="18">
        <f t="shared" si="1"/>
        <v>34</v>
      </c>
      <c r="P15" s="1" t="s">
        <v>30</v>
      </c>
      <c r="Q15" s="2">
        <v>6</v>
      </c>
      <c r="T15" s="1" t="s">
        <v>8</v>
      </c>
      <c r="U15" s="10">
        <v>14.8</v>
      </c>
      <c r="V15" s="10">
        <v>13.6</v>
      </c>
      <c r="W15" s="3" t="s">
        <v>40</v>
      </c>
      <c r="X15" s="3" t="s">
        <v>40</v>
      </c>
      <c r="Y15" s="2" t="s">
        <v>40</v>
      </c>
      <c r="Z15" s="2" t="s">
        <v>40</v>
      </c>
    </row>
    <row r="16" spans="1:26" x14ac:dyDescent="0.35">
      <c r="A16" s="1" t="s">
        <v>0</v>
      </c>
      <c r="B16" s="33">
        <f t="shared" si="2"/>
        <v>32.125</v>
      </c>
      <c r="C16" s="3">
        <v>8</v>
      </c>
      <c r="D16" s="33">
        <f t="shared" si="0"/>
        <v>40.125</v>
      </c>
      <c r="E16" s="3">
        <v>2.5</v>
      </c>
      <c r="F16" s="33">
        <f t="shared" si="3"/>
        <v>39</v>
      </c>
      <c r="G16" s="3">
        <v>2</v>
      </c>
      <c r="H16" s="33">
        <f t="shared" ref="H16:H21" si="6">Y41</f>
        <v>41</v>
      </c>
      <c r="I16" s="33">
        <v>2</v>
      </c>
      <c r="J16" s="33">
        <f t="shared" si="4"/>
        <v>37</v>
      </c>
      <c r="K16" s="3">
        <v>2.5</v>
      </c>
      <c r="L16" s="33">
        <f t="shared" si="5"/>
        <v>26</v>
      </c>
      <c r="M16" s="2">
        <v>7</v>
      </c>
      <c r="N16" s="18">
        <f t="shared" si="1"/>
        <v>24</v>
      </c>
      <c r="P16" s="1" t="s">
        <v>31</v>
      </c>
      <c r="Q16" s="2">
        <v>5</v>
      </c>
      <c r="T16" s="1" t="s">
        <v>0</v>
      </c>
      <c r="U16" s="2" t="s">
        <v>40</v>
      </c>
      <c r="V16" s="2" t="s">
        <v>40</v>
      </c>
      <c r="W16" s="3" t="s">
        <v>40</v>
      </c>
      <c r="X16" s="3" t="s">
        <v>40</v>
      </c>
      <c r="Y16" s="2" t="s">
        <v>40</v>
      </c>
      <c r="Z16" s="2" t="s">
        <v>40</v>
      </c>
    </row>
    <row r="17" spans="1:26" x14ac:dyDescent="0.35">
      <c r="A17" s="1" t="s">
        <v>2</v>
      </c>
      <c r="B17" s="33">
        <f t="shared" si="2"/>
        <v>36.375</v>
      </c>
      <c r="C17" s="3">
        <v>4.5</v>
      </c>
      <c r="D17" s="33">
        <f t="shared" si="0"/>
        <v>33.375</v>
      </c>
      <c r="E17" s="33">
        <v>8</v>
      </c>
      <c r="F17" s="33">
        <f t="shared" si="3"/>
        <v>37</v>
      </c>
      <c r="G17" s="3">
        <v>3.5</v>
      </c>
      <c r="H17" s="33">
        <f t="shared" si="6"/>
        <v>30</v>
      </c>
      <c r="I17" s="33">
        <v>8</v>
      </c>
      <c r="J17" s="33">
        <f t="shared" si="4"/>
        <v>35</v>
      </c>
      <c r="K17" s="33">
        <v>5</v>
      </c>
      <c r="L17" s="33">
        <f t="shared" si="5"/>
        <v>33</v>
      </c>
      <c r="M17" s="2">
        <v>3</v>
      </c>
      <c r="N17" s="18">
        <f t="shared" si="1"/>
        <v>32</v>
      </c>
      <c r="P17" s="1" t="s">
        <v>32</v>
      </c>
      <c r="Q17" s="2">
        <v>4</v>
      </c>
      <c r="T17" s="1" t="s">
        <v>2</v>
      </c>
      <c r="U17" s="2" t="s">
        <v>40</v>
      </c>
      <c r="V17" s="2" t="s">
        <v>40</v>
      </c>
      <c r="W17" s="3" t="s">
        <v>40</v>
      </c>
      <c r="X17" s="3" t="s">
        <v>40</v>
      </c>
      <c r="Y17" s="2" t="s">
        <v>40</v>
      </c>
      <c r="Z17" s="10">
        <v>3.1</v>
      </c>
    </row>
    <row r="18" spans="1:26" x14ac:dyDescent="0.35">
      <c r="A18" s="1" t="s">
        <v>103</v>
      </c>
      <c r="B18" s="33">
        <f t="shared" si="2"/>
        <v>34.625</v>
      </c>
      <c r="C18" s="3">
        <v>6.5</v>
      </c>
      <c r="D18" s="33">
        <f t="shared" si="0"/>
        <v>39.625</v>
      </c>
      <c r="E18" s="3">
        <v>2.5</v>
      </c>
      <c r="F18" s="33">
        <f t="shared" si="3"/>
        <v>30</v>
      </c>
      <c r="G18" s="3">
        <v>8</v>
      </c>
      <c r="H18" s="33">
        <f t="shared" si="6"/>
        <v>33</v>
      </c>
      <c r="I18" s="33">
        <v>5</v>
      </c>
      <c r="J18" s="33">
        <f t="shared" si="4"/>
        <v>32</v>
      </c>
      <c r="K18" s="33">
        <v>7</v>
      </c>
      <c r="L18" s="33">
        <f t="shared" si="5"/>
        <v>29</v>
      </c>
      <c r="M18" s="2">
        <v>5.5</v>
      </c>
      <c r="N18" s="18">
        <f t="shared" si="1"/>
        <v>34.5</v>
      </c>
      <c r="P18" s="1" t="s">
        <v>33</v>
      </c>
      <c r="Q18" s="2">
        <v>3</v>
      </c>
      <c r="T18" s="1" t="s">
        <v>103</v>
      </c>
      <c r="U18" s="2" t="s">
        <v>40</v>
      </c>
      <c r="V18" s="2" t="s">
        <v>40</v>
      </c>
      <c r="W18" s="21">
        <v>5</v>
      </c>
      <c r="X18" s="3" t="s">
        <v>40</v>
      </c>
      <c r="Y18" s="2" t="s">
        <v>40</v>
      </c>
      <c r="Z18" s="2" t="s">
        <v>40</v>
      </c>
    </row>
    <row r="19" spans="1:26" x14ac:dyDescent="0.35">
      <c r="A19" s="1" t="s">
        <v>3</v>
      </c>
      <c r="B19" s="33">
        <f t="shared" si="2"/>
        <v>39.25</v>
      </c>
      <c r="C19" s="3">
        <v>2</v>
      </c>
      <c r="D19" s="33">
        <f t="shared" si="0"/>
        <v>34.25</v>
      </c>
      <c r="E19" s="33">
        <v>7</v>
      </c>
      <c r="F19" s="33">
        <f t="shared" si="3"/>
        <v>32</v>
      </c>
      <c r="G19" s="3">
        <v>7</v>
      </c>
      <c r="H19" s="33">
        <f t="shared" si="6"/>
        <v>37</v>
      </c>
      <c r="I19" s="33">
        <v>3</v>
      </c>
      <c r="J19" s="33">
        <f t="shared" si="4"/>
        <v>34</v>
      </c>
      <c r="K19" s="33">
        <v>6</v>
      </c>
      <c r="L19" s="33">
        <f t="shared" si="5"/>
        <v>36</v>
      </c>
      <c r="M19" s="2">
        <v>2</v>
      </c>
      <c r="N19" s="18">
        <f t="shared" si="1"/>
        <v>27</v>
      </c>
      <c r="P19" s="1" t="s">
        <v>34</v>
      </c>
      <c r="Q19" s="2">
        <v>2</v>
      </c>
      <c r="T19" s="1" t="s">
        <v>3</v>
      </c>
      <c r="U19" s="2" t="s">
        <v>40</v>
      </c>
      <c r="V19" s="3" t="s">
        <v>40</v>
      </c>
      <c r="W19" s="3" t="s">
        <v>40</v>
      </c>
      <c r="X19" s="3" t="s">
        <v>40</v>
      </c>
      <c r="Y19" s="10">
        <v>4.8</v>
      </c>
      <c r="Z19" s="2" t="s">
        <v>40</v>
      </c>
    </row>
    <row r="20" spans="1:26" x14ac:dyDescent="0.35">
      <c r="A20" s="1" t="s">
        <v>4</v>
      </c>
      <c r="B20" s="33">
        <f t="shared" si="2"/>
        <v>35.625</v>
      </c>
      <c r="C20" s="3">
        <v>4.5</v>
      </c>
      <c r="D20" s="33">
        <f t="shared" si="0"/>
        <v>38.625</v>
      </c>
      <c r="E20" s="33">
        <v>4</v>
      </c>
      <c r="F20" s="33">
        <f t="shared" si="3"/>
        <v>37</v>
      </c>
      <c r="G20" s="3">
        <v>3.5</v>
      </c>
      <c r="H20" s="33">
        <f t="shared" si="6"/>
        <v>31</v>
      </c>
      <c r="I20" s="33">
        <v>7</v>
      </c>
      <c r="J20" s="33">
        <f t="shared" si="4"/>
        <v>37</v>
      </c>
      <c r="K20" s="3">
        <v>2.5</v>
      </c>
      <c r="L20" s="33">
        <f t="shared" si="5"/>
        <v>30</v>
      </c>
      <c r="M20" s="2">
        <v>4</v>
      </c>
      <c r="N20" s="18">
        <f t="shared" si="1"/>
        <v>25.5</v>
      </c>
      <c r="P20" s="1" t="s">
        <v>35</v>
      </c>
      <c r="Q20" s="2">
        <v>1</v>
      </c>
      <c r="T20" s="1" t="s">
        <v>4</v>
      </c>
      <c r="U20" s="2" t="s">
        <v>40</v>
      </c>
      <c r="V20" s="2" t="s">
        <v>40</v>
      </c>
      <c r="W20" s="3" t="s">
        <v>40</v>
      </c>
      <c r="X20" s="21">
        <v>6.6</v>
      </c>
      <c r="Y20" s="2">
        <v>4.9000000000000004</v>
      </c>
      <c r="Z20" s="2" t="s">
        <v>40</v>
      </c>
    </row>
    <row r="21" spans="1:26" x14ac:dyDescent="0.35">
      <c r="A21" s="1" t="s">
        <v>7</v>
      </c>
      <c r="B21" s="33">
        <f>M33</f>
        <v>-4</v>
      </c>
      <c r="C21" s="3">
        <v>1</v>
      </c>
      <c r="D21" s="33">
        <f t="shared" si="0"/>
        <v>-4</v>
      </c>
      <c r="E21" s="33">
        <v>1</v>
      </c>
      <c r="F21" s="33">
        <f t="shared" si="3"/>
        <v>-4</v>
      </c>
      <c r="G21" s="3">
        <v>1</v>
      </c>
      <c r="H21" s="33">
        <f t="shared" si="6"/>
        <v>-4</v>
      </c>
      <c r="I21" s="33">
        <v>1</v>
      </c>
      <c r="J21" s="33">
        <f t="shared" si="4"/>
        <v>38</v>
      </c>
      <c r="K21" s="33">
        <v>1</v>
      </c>
      <c r="L21" s="33">
        <f t="shared" si="5"/>
        <v>-4</v>
      </c>
      <c r="M21" s="2">
        <v>1</v>
      </c>
      <c r="N21" s="18">
        <f t="shared" si="1"/>
        <v>6</v>
      </c>
      <c r="T21" s="1" t="s">
        <v>7</v>
      </c>
      <c r="U21" s="2" t="s">
        <v>40</v>
      </c>
      <c r="V21" s="2" t="s">
        <v>40</v>
      </c>
      <c r="W21" s="3" t="s">
        <v>40</v>
      </c>
      <c r="X21" s="3" t="s">
        <v>40</v>
      </c>
      <c r="Y21" s="2" t="s">
        <v>40</v>
      </c>
      <c r="Z21" s="2" t="s">
        <v>40</v>
      </c>
    </row>
    <row r="23" spans="1:26" x14ac:dyDescent="0.35">
      <c r="A23" s="1" t="s">
        <v>44</v>
      </c>
      <c r="B23" s="1">
        <v>1</v>
      </c>
      <c r="C23" s="1">
        <v>2</v>
      </c>
      <c r="D23" s="1">
        <v>3</v>
      </c>
      <c r="E23" s="9">
        <v>4</v>
      </c>
      <c r="F23" s="1">
        <v>5</v>
      </c>
      <c r="G23" s="11">
        <v>6</v>
      </c>
      <c r="H23" s="1">
        <v>7</v>
      </c>
      <c r="I23" s="14">
        <v>8</v>
      </c>
      <c r="J23" s="1">
        <v>9</v>
      </c>
      <c r="K23" s="1" t="s">
        <v>9</v>
      </c>
      <c r="L23" s="1" t="s">
        <v>14</v>
      </c>
      <c r="M23" s="1" t="s">
        <v>20</v>
      </c>
      <c r="N23" s="1">
        <v>10</v>
      </c>
      <c r="O23" s="1">
        <v>11</v>
      </c>
      <c r="P23" s="11">
        <v>12</v>
      </c>
      <c r="Q23" s="1">
        <v>13</v>
      </c>
      <c r="R23" s="14">
        <v>14</v>
      </c>
      <c r="S23" s="11">
        <v>15</v>
      </c>
      <c r="T23" s="9">
        <v>16</v>
      </c>
      <c r="U23" s="14">
        <v>17</v>
      </c>
      <c r="V23" s="1">
        <v>18</v>
      </c>
      <c r="W23" s="1" t="s">
        <v>9</v>
      </c>
      <c r="X23" s="1" t="s">
        <v>14</v>
      </c>
      <c r="Y23" s="1" t="s">
        <v>20</v>
      </c>
    </row>
    <row r="24" spans="1:26" outlineLevel="1" x14ac:dyDescent="0.35">
      <c r="A24" s="1" t="s">
        <v>15</v>
      </c>
      <c r="B24" s="1">
        <v>4</v>
      </c>
      <c r="C24" s="1">
        <v>4</v>
      </c>
      <c r="D24" s="1">
        <v>5</v>
      </c>
      <c r="E24" s="9">
        <v>3</v>
      </c>
      <c r="F24" s="1">
        <v>4</v>
      </c>
      <c r="G24" s="11">
        <v>4</v>
      </c>
      <c r="H24" s="1">
        <v>3</v>
      </c>
      <c r="I24" s="14">
        <v>4</v>
      </c>
      <c r="J24" s="1">
        <v>4</v>
      </c>
      <c r="K24" s="1">
        <f>SUM(B24:J24)</f>
        <v>35</v>
      </c>
      <c r="L24" s="7"/>
      <c r="M24" s="7"/>
      <c r="N24" s="1">
        <v>4</v>
      </c>
      <c r="O24" s="1">
        <v>4</v>
      </c>
      <c r="P24" s="11">
        <v>3</v>
      </c>
      <c r="Q24" s="1">
        <v>5</v>
      </c>
      <c r="R24" s="14">
        <v>4</v>
      </c>
      <c r="S24" s="11">
        <v>5</v>
      </c>
      <c r="T24" s="9">
        <v>3</v>
      </c>
      <c r="U24" s="14">
        <v>4</v>
      </c>
      <c r="V24" s="1">
        <v>4</v>
      </c>
      <c r="W24" s="1">
        <f>SUM(N24:V24)</f>
        <v>36</v>
      </c>
      <c r="X24" s="8"/>
      <c r="Y24" s="7"/>
    </row>
    <row r="25" spans="1:26" outlineLevel="1" x14ac:dyDescent="0.35">
      <c r="A25" s="1" t="s">
        <v>1</v>
      </c>
      <c r="B25" s="5"/>
      <c r="C25" s="5"/>
      <c r="D25" s="5"/>
      <c r="E25" s="5"/>
      <c r="F25" s="5"/>
      <c r="G25" s="5"/>
      <c r="H25" s="5"/>
      <c r="I25" s="15"/>
      <c r="J25" s="5"/>
      <c r="K25" s="5"/>
      <c r="L25" s="5"/>
      <c r="M25" s="5"/>
      <c r="N25" s="15"/>
      <c r="O25" s="5"/>
      <c r="P25" s="5"/>
      <c r="Q25" s="5"/>
      <c r="R25" s="15"/>
      <c r="S25" s="12"/>
      <c r="T25" s="5"/>
      <c r="U25" s="15"/>
      <c r="V25" s="5"/>
      <c r="W25" s="5"/>
      <c r="X25" s="5"/>
      <c r="Y25" s="5"/>
    </row>
    <row r="26" spans="1:26" outlineLevel="1" x14ac:dyDescent="0.35">
      <c r="A26" s="1" t="s">
        <v>5</v>
      </c>
      <c r="B26" s="2">
        <v>9</v>
      </c>
      <c r="C26" s="2">
        <v>6</v>
      </c>
      <c r="D26" s="2">
        <v>8</v>
      </c>
      <c r="E26" s="10">
        <v>5</v>
      </c>
      <c r="F26" s="29">
        <v>7</v>
      </c>
      <c r="G26" s="2">
        <v>8</v>
      </c>
      <c r="H26" s="2">
        <v>4</v>
      </c>
      <c r="I26" s="16">
        <v>7</v>
      </c>
      <c r="J26" s="16">
        <v>6</v>
      </c>
      <c r="K26" s="1">
        <f t="shared" ref="K26:K33" si="7">SUM(B26:J26)</f>
        <v>60</v>
      </c>
      <c r="L26" s="32">
        <v>22</v>
      </c>
      <c r="M26" s="32">
        <f t="shared" ref="M26:M33" si="8">K26-L26</f>
        <v>38</v>
      </c>
      <c r="N26" s="16">
        <v>6</v>
      </c>
      <c r="O26" s="2">
        <v>7</v>
      </c>
      <c r="P26" s="2">
        <v>4</v>
      </c>
      <c r="Q26" s="2">
        <v>8</v>
      </c>
      <c r="R26" s="16">
        <v>8</v>
      </c>
      <c r="S26" s="13">
        <v>6</v>
      </c>
      <c r="T26" s="10">
        <v>5</v>
      </c>
      <c r="U26" s="16">
        <v>6</v>
      </c>
      <c r="V26" s="2">
        <v>7</v>
      </c>
      <c r="W26" s="1">
        <f t="shared" ref="W26:W33" si="9">SUM(N26:V26)</f>
        <v>57</v>
      </c>
      <c r="X26" s="32">
        <v>22</v>
      </c>
      <c r="Y26" s="32">
        <f>W26-X26</f>
        <v>35</v>
      </c>
    </row>
    <row r="27" spans="1:26" x14ac:dyDescent="0.35">
      <c r="A27" s="1" t="s">
        <v>8</v>
      </c>
      <c r="B27" s="2">
        <v>6</v>
      </c>
      <c r="C27" s="2">
        <v>8</v>
      </c>
      <c r="D27" s="2">
        <v>6</v>
      </c>
      <c r="E27" s="10">
        <v>4</v>
      </c>
      <c r="F27" s="29">
        <v>6</v>
      </c>
      <c r="G27" s="2">
        <v>9</v>
      </c>
      <c r="H27" s="2">
        <v>3</v>
      </c>
      <c r="I27" s="16">
        <v>9</v>
      </c>
      <c r="J27" s="16">
        <v>4</v>
      </c>
      <c r="K27" s="1">
        <f t="shared" si="7"/>
        <v>55</v>
      </c>
      <c r="L27" s="32">
        <v>20</v>
      </c>
      <c r="M27" s="32">
        <f t="shared" si="8"/>
        <v>35</v>
      </c>
      <c r="N27" s="16">
        <v>8</v>
      </c>
      <c r="O27" s="2">
        <v>7</v>
      </c>
      <c r="P27" s="2">
        <v>7</v>
      </c>
      <c r="Q27" s="2">
        <v>7</v>
      </c>
      <c r="R27" s="16">
        <v>7</v>
      </c>
      <c r="S27" s="13">
        <v>5</v>
      </c>
      <c r="T27" s="10">
        <v>3</v>
      </c>
      <c r="U27" s="16">
        <v>5</v>
      </c>
      <c r="V27" s="2">
        <v>8</v>
      </c>
      <c r="W27" s="1">
        <f t="shared" si="9"/>
        <v>57</v>
      </c>
      <c r="X27" s="32">
        <v>20</v>
      </c>
      <c r="Y27" s="32">
        <f t="shared" ref="Y27:Y33" si="10">W27-X27</f>
        <v>37</v>
      </c>
    </row>
    <row r="28" spans="1:26" x14ac:dyDescent="0.35">
      <c r="A28" s="1" t="s">
        <v>0</v>
      </c>
      <c r="B28" s="2">
        <v>5</v>
      </c>
      <c r="C28" s="2">
        <v>5</v>
      </c>
      <c r="D28" s="2">
        <v>6</v>
      </c>
      <c r="E28" s="10">
        <v>4</v>
      </c>
      <c r="F28" s="29">
        <v>8</v>
      </c>
      <c r="G28" s="2">
        <v>7</v>
      </c>
      <c r="H28" s="2">
        <v>4</v>
      </c>
      <c r="I28" s="16">
        <v>5</v>
      </c>
      <c r="J28" s="16">
        <v>6</v>
      </c>
      <c r="K28" s="1">
        <f t="shared" si="7"/>
        <v>50</v>
      </c>
      <c r="L28" s="32">
        <v>17.875</v>
      </c>
      <c r="M28" s="32">
        <f t="shared" si="8"/>
        <v>32.125</v>
      </c>
      <c r="N28" s="16">
        <v>5</v>
      </c>
      <c r="O28" s="2">
        <v>13</v>
      </c>
      <c r="P28" s="2">
        <v>6</v>
      </c>
      <c r="Q28" s="2">
        <v>7</v>
      </c>
      <c r="R28" s="16">
        <v>7</v>
      </c>
      <c r="S28" s="13">
        <v>7</v>
      </c>
      <c r="T28" s="10">
        <v>3</v>
      </c>
      <c r="U28" s="16">
        <v>6</v>
      </c>
      <c r="V28" s="2">
        <v>4</v>
      </c>
      <c r="W28" s="1">
        <f t="shared" si="9"/>
        <v>58</v>
      </c>
      <c r="X28" s="32">
        <v>17.875</v>
      </c>
      <c r="Y28" s="32">
        <f t="shared" si="10"/>
        <v>40.125</v>
      </c>
    </row>
    <row r="29" spans="1:26" x14ac:dyDescent="0.35">
      <c r="A29" s="1" t="s">
        <v>2</v>
      </c>
      <c r="B29" s="2">
        <v>5</v>
      </c>
      <c r="C29" s="2">
        <v>6</v>
      </c>
      <c r="D29" s="2">
        <v>8</v>
      </c>
      <c r="E29" s="10">
        <v>3</v>
      </c>
      <c r="F29" s="29">
        <v>4</v>
      </c>
      <c r="G29" s="2">
        <v>4</v>
      </c>
      <c r="H29" s="2">
        <v>4</v>
      </c>
      <c r="I29" s="16">
        <v>4</v>
      </c>
      <c r="J29" s="16">
        <v>4</v>
      </c>
      <c r="K29" s="1">
        <f t="shared" si="7"/>
        <v>42</v>
      </c>
      <c r="L29" s="32">
        <v>5.625</v>
      </c>
      <c r="M29" s="32">
        <f t="shared" si="8"/>
        <v>36.375</v>
      </c>
      <c r="N29" s="16">
        <v>4</v>
      </c>
      <c r="O29" s="2">
        <v>5</v>
      </c>
      <c r="P29" s="2">
        <v>3</v>
      </c>
      <c r="Q29" s="2">
        <v>5</v>
      </c>
      <c r="R29" s="16">
        <v>5</v>
      </c>
      <c r="S29" s="13">
        <v>5</v>
      </c>
      <c r="T29" s="10">
        <v>3</v>
      </c>
      <c r="U29" s="16">
        <v>4</v>
      </c>
      <c r="V29" s="2">
        <v>5</v>
      </c>
      <c r="W29" s="1">
        <f t="shared" si="9"/>
        <v>39</v>
      </c>
      <c r="X29" s="32">
        <v>5.625</v>
      </c>
      <c r="Y29" s="32">
        <f t="shared" si="10"/>
        <v>33.375</v>
      </c>
    </row>
    <row r="30" spans="1:26" x14ac:dyDescent="0.35">
      <c r="A30" s="1" t="s">
        <v>103</v>
      </c>
      <c r="B30" s="2">
        <v>6</v>
      </c>
      <c r="C30" s="2">
        <v>4</v>
      </c>
      <c r="D30" s="2">
        <v>6</v>
      </c>
      <c r="E30" s="10">
        <v>3</v>
      </c>
      <c r="F30" s="29">
        <v>5</v>
      </c>
      <c r="G30" s="2">
        <v>5</v>
      </c>
      <c r="H30" s="2">
        <v>3</v>
      </c>
      <c r="I30" s="16">
        <v>6</v>
      </c>
      <c r="J30" s="16">
        <v>5</v>
      </c>
      <c r="K30" s="1">
        <f t="shared" si="7"/>
        <v>43</v>
      </c>
      <c r="L30" s="32">
        <v>8.375</v>
      </c>
      <c r="M30" s="32">
        <f t="shared" si="8"/>
        <v>34.625</v>
      </c>
      <c r="N30" s="16">
        <v>5</v>
      </c>
      <c r="O30" s="2">
        <v>6</v>
      </c>
      <c r="P30" s="2">
        <v>3</v>
      </c>
      <c r="Q30" s="2">
        <v>5</v>
      </c>
      <c r="R30" s="16">
        <v>6</v>
      </c>
      <c r="S30" s="13">
        <v>7</v>
      </c>
      <c r="T30" s="10">
        <v>4</v>
      </c>
      <c r="U30" s="16">
        <v>6</v>
      </c>
      <c r="V30" s="2">
        <v>6</v>
      </c>
      <c r="W30" s="1">
        <f t="shared" si="9"/>
        <v>48</v>
      </c>
      <c r="X30" s="32">
        <v>8.375</v>
      </c>
      <c r="Y30" s="32">
        <f t="shared" si="10"/>
        <v>39.625</v>
      </c>
    </row>
    <row r="31" spans="1:26" x14ac:dyDescent="0.35">
      <c r="A31" s="1" t="s">
        <v>3</v>
      </c>
      <c r="B31" s="2">
        <v>5</v>
      </c>
      <c r="C31" s="2">
        <v>7</v>
      </c>
      <c r="D31" s="2">
        <v>5</v>
      </c>
      <c r="E31" s="10">
        <v>3</v>
      </c>
      <c r="F31" s="29">
        <v>8</v>
      </c>
      <c r="G31" s="2">
        <v>5</v>
      </c>
      <c r="H31" s="2">
        <v>4</v>
      </c>
      <c r="I31" s="16">
        <v>5</v>
      </c>
      <c r="J31" s="16">
        <v>4</v>
      </c>
      <c r="K31" s="1">
        <f t="shared" si="7"/>
        <v>46</v>
      </c>
      <c r="L31" s="32">
        <v>6.75</v>
      </c>
      <c r="M31" s="32">
        <f t="shared" si="8"/>
        <v>39.25</v>
      </c>
      <c r="N31" s="16">
        <v>5</v>
      </c>
      <c r="O31" s="2">
        <v>6</v>
      </c>
      <c r="P31" s="2">
        <v>3</v>
      </c>
      <c r="Q31" s="2">
        <v>5</v>
      </c>
      <c r="R31" s="16">
        <v>5</v>
      </c>
      <c r="S31" s="13">
        <v>6</v>
      </c>
      <c r="T31" s="10">
        <v>3</v>
      </c>
      <c r="U31" s="16">
        <v>4</v>
      </c>
      <c r="V31" s="2">
        <v>4</v>
      </c>
      <c r="W31" s="1">
        <f t="shared" si="9"/>
        <v>41</v>
      </c>
      <c r="X31" s="32">
        <v>6.75</v>
      </c>
      <c r="Y31" s="32">
        <f t="shared" si="10"/>
        <v>34.25</v>
      </c>
    </row>
    <row r="32" spans="1:26" x14ac:dyDescent="0.35">
      <c r="A32" s="1" t="s">
        <v>4</v>
      </c>
      <c r="B32" s="2">
        <v>4</v>
      </c>
      <c r="C32" s="2">
        <v>6</v>
      </c>
      <c r="D32" s="2">
        <v>6</v>
      </c>
      <c r="E32" s="10">
        <v>4</v>
      </c>
      <c r="F32" s="29">
        <v>4</v>
      </c>
      <c r="G32" s="2">
        <v>5</v>
      </c>
      <c r="H32" s="2">
        <v>4</v>
      </c>
      <c r="I32" s="16">
        <v>6</v>
      </c>
      <c r="J32" s="16">
        <v>4</v>
      </c>
      <c r="K32" s="1">
        <f t="shared" si="7"/>
        <v>43</v>
      </c>
      <c r="L32" s="32">
        <v>7.375</v>
      </c>
      <c r="M32" s="32">
        <f t="shared" si="8"/>
        <v>35.625</v>
      </c>
      <c r="N32" s="16">
        <v>4</v>
      </c>
      <c r="O32" s="2">
        <v>6</v>
      </c>
      <c r="P32" s="2">
        <v>5</v>
      </c>
      <c r="Q32" s="2">
        <v>6</v>
      </c>
      <c r="R32" s="16">
        <v>5</v>
      </c>
      <c r="S32" s="13">
        <v>7</v>
      </c>
      <c r="T32" s="10">
        <v>3</v>
      </c>
      <c r="U32" s="16">
        <v>4</v>
      </c>
      <c r="V32" s="2">
        <v>6</v>
      </c>
      <c r="W32" s="1">
        <f t="shared" si="9"/>
        <v>46</v>
      </c>
      <c r="X32" s="32">
        <v>7.375</v>
      </c>
      <c r="Y32" s="32">
        <f t="shared" si="10"/>
        <v>38.625</v>
      </c>
    </row>
    <row r="33" spans="1:25" x14ac:dyDescent="0.35">
      <c r="A33" s="1" t="s">
        <v>7</v>
      </c>
      <c r="B33" s="2"/>
      <c r="C33" s="2"/>
      <c r="D33" s="2"/>
      <c r="E33" s="10"/>
      <c r="F33" s="29"/>
      <c r="G33" s="2"/>
      <c r="H33" s="2"/>
      <c r="I33" s="16"/>
      <c r="J33" s="16"/>
      <c r="K33" s="1">
        <f t="shared" si="7"/>
        <v>0</v>
      </c>
      <c r="L33" s="32">
        <v>4</v>
      </c>
      <c r="M33" s="32">
        <f t="shared" si="8"/>
        <v>-4</v>
      </c>
      <c r="N33" s="16"/>
      <c r="O33" s="2"/>
      <c r="P33" s="2"/>
      <c r="Q33" s="2"/>
      <c r="R33" s="16"/>
      <c r="S33" s="13"/>
      <c r="T33" s="10"/>
      <c r="U33" s="16"/>
      <c r="V33" s="2"/>
      <c r="W33" s="1">
        <f t="shared" si="9"/>
        <v>0</v>
      </c>
      <c r="X33" s="32">
        <v>4</v>
      </c>
      <c r="Y33" s="32">
        <f t="shared" si="10"/>
        <v>-4</v>
      </c>
    </row>
    <row r="34" spans="1:25" x14ac:dyDescent="0.35">
      <c r="C34" s="22"/>
      <c r="E34" s="9" t="s">
        <v>45</v>
      </c>
      <c r="F34" s="30"/>
      <c r="T34" s="9" t="s">
        <v>46</v>
      </c>
    </row>
    <row r="36" spans="1:25" x14ac:dyDescent="0.35">
      <c r="A36" s="1" t="s">
        <v>119</v>
      </c>
      <c r="B36" s="1">
        <v>1</v>
      </c>
      <c r="C36" s="1">
        <v>2</v>
      </c>
      <c r="D36" s="1">
        <v>3</v>
      </c>
      <c r="E36" s="9">
        <v>4</v>
      </c>
      <c r="F36" s="1">
        <v>5</v>
      </c>
      <c r="G36" s="11">
        <v>6</v>
      </c>
      <c r="H36" s="1">
        <v>7</v>
      </c>
      <c r="I36" s="14">
        <v>8</v>
      </c>
      <c r="J36" s="1">
        <v>9</v>
      </c>
      <c r="K36" s="1" t="s">
        <v>9</v>
      </c>
      <c r="L36" s="1" t="s">
        <v>14</v>
      </c>
      <c r="M36" s="1" t="s">
        <v>20</v>
      </c>
      <c r="N36" s="11">
        <v>10</v>
      </c>
      <c r="O36" s="1">
        <v>11</v>
      </c>
      <c r="P36" s="11">
        <v>12</v>
      </c>
      <c r="Q36" s="1">
        <v>13</v>
      </c>
      <c r="R36" s="11">
        <v>14</v>
      </c>
      <c r="S36" s="11">
        <v>15</v>
      </c>
      <c r="T36" s="1">
        <v>16</v>
      </c>
      <c r="U36" s="9">
        <v>17</v>
      </c>
      <c r="V36" s="1">
        <v>18</v>
      </c>
      <c r="W36" s="1" t="s">
        <v>9</v>
      </c>
      <c r="X36" s="1" t="s">
        <v>14</v>
      </c>
      <c r="Y36" s="1" t="s">
        <v>20</v>
      </c>
    </row>
    <row r="37" spans="1:25" x14ac:dyDescent="0.35">
      <c r="A37" s="1" t="s">
        <v>15</v>
      </c>
      <c r="B37" s="1">
        <v>4</v>
      </c>
      <c r="C37" s="1">
        <v>3</v>
      </c>
      <c r="D37" s="1">
        <v>5</v>
      </c>
      <c r="E37" s="9">
        <v>3</v>
      </c>
      <c r="F37" s="1">
        <v>4</v>
      </c>
      <c r="G37" s="11">
        <v>4</v>
      </c>
      <c r="H37" s="1">
        <v>5</v>
      </c>
      <c r="I37" s="14">
        <v>4</v>
      </c>
      <c r="J37" s="1">
        <v>4</v>
      </c>
      <c r="K37" s="1">
        <f>SUM(B37:J37)</f>
        <v>36</v>
      </c>
      <c r="L37" s="7"/>
      <c r="M37" s="7"/>
      <c r="N37" s="11">
        <v>4</v>
      </c>
      <c r="O37" s="1">
        <v>4</v>
      </c>
      <c r="P37" s="11">
        <v>3</v>
      </c>
      <c r="Q37" s="1">
        <v>4</v>
      </c>
      <c r="R37" s="11">
        <v>4</v>
      </c>
      <c r="S37" s="11">
        <v>5</v>
      </c>
      <c r="T37" s="1">
        <v>4</v>
      </c>
      <c r="U37" s="9">
        <v>3</v>
      </c>
      <c r="V37" s="1">
        <v>5</v>
      </c>
      <c r="W37" s="1">
        <f>SUM(N37:V37)</f>
        <v>36</v>
      </c>
      <c r="X37" s="8"/>
      <c r="Y37" s="7"/>
    </row>
    <row r="38" spans="1:25" x14ac:dyDescent="0.35">
      <c r="A38" s="1" t="s">
        <v>1</v>
      </c>
      <c r="B38" s="5"/>
      <c r="C38" s="5"/>
      <c r="D38" s="5"/>
      <c r="E38" s="5"/>
      <c r="F38" s="5"/>
      <c r="G38" s="12"/>
      <c r="H38" s="5"/>
      <c r="I38" s="15"/>
      <c r="J38" s="5"/>
      <c r="K38" s="5"/>
      <c r="L38" s="5"/>
      <c r="M38" s="5"/>
      <c r="N38" s="12"/>
      <c r="O38" s="5"/>
      <c r="P38" s="12"/>
      <c r="Q38" s="5"/>
      <c r="R38" s="12"/>
      <c r="S38" s="12"/>
      <c r="T38" s="5"/>
      <c r="U38" s="5"/>
      <c r="V38" s="5"/>
      <c r="W38" s="5"/>
      <c r="X38" s="5"/>
      <c r="Y38" s="5"/>
    </row>
    <row r="39" spans="1:25" x14ac:dyDescent="0.35">
      <c r="A39" s="1" t="s">
        <v>5</v>
      </c>
      <c r="B39" s="2">
        <v>5</v>
      </c>
      <c r="C39" s="2">
        <v>5</v>
      </c>
      <c r="D39" s="2">
        <v>6</v>
      </c>
      <c r="E39" s="10">
        <v>4</v>
      </c>
      <c r="F39" s="2">
        <v>8</v>
      </c>
      <c r="G39" s="13">
        <v>6</v>
      </c>
      <c r="H39" s="2">
        <v>8</v>
      </c>
      <c r="I39" s="16">
        <v>8</v>
      </c>
      <c r="J39" s="2">
        <v>6</v>
      </c>
      <c r="K39" s="1">
        <f t="shared" ref="K39:K46" si="11">SUM(B39:J39)</f>
        <v>56</v>
      </c>
      <c r="L39" s="32">
        <v>22</v>
      </c>
      <c r="M39" s="32">
        <f>K39-L39</f>
        <v>34</v>
      </c>
      <c r="N39" s="13">
        <v>7</v>
      </c>
      <c r="O39" s="2">
        <v>7</v>
      </c>
      <c r="P39" s="13">
        <v>4</v>
      </c>
      <c r="Q39" s="2">
        <v>6</v>
      </c>
      <c r="R39" s="13">
        <v>4</v>
      </c>
      <c r="S39" s="13">
        <v>8</v>
      </c>
      <c r="T39" s="2">
        <v>7</v>
      </c>
      <c r="U39" s="10">
        <v>4</v>
      </c>
      <c r="V39" s="2">
        <v>7</v>
      </c>
      <c r="W39" s="1">
        <f t="shared" ref="W39:W46" si="12">SUM(N39:V39)</f>
        <v>54</v>
      </c>
      <c r="X39" s="32">
        <v>22</v>
      </c>
      <c r="Y39" s="32">
        <f>W39-X39</f>
        <v>32</v>
      </c>
    </row>
    <row r="40" spans="1:25" x14ac:dyDescent="0.35">
      <c r="A40" s="1" t="s">
        <v>8</v>
      </c>
      <c r="B40" s="2">
        <v>8</v>
      </c>
      <c r="C40" s="2">
        <v>7</v>
      </c>
      <c r="D40" s="2">
        <v>5</v>
      </c>
      <c r="E40" s="10">
        <v>4</v>
      </c>
      <c r="F40" s="2">
        <v>6</v>
      </c>
      <c r="G40" s="13">
        <v>6</v>
      </c>
      <c r="H40" s="2">
        <v>7</v>
      </c>
      <c r="I40" s="16">
        <v>6</v>
      </c>
      <c r="J40" s="2">
        <v>6</v>
      </c>
      <c r="K40" s="1">
        <f>SUM(B40:J40)</f>
        <v>55</v>
      </c>
      <c r="L40" s="32">
        <v>20</v>
      </c>
      <c r="M40" s="32">
        <f>K40-L40</f>
        <v>35</v>
      </c>
      <c r="N40" s="13">
        <v>7</v>
      </c>
      <c r="O40" s="2">
        <v>7</v>
      </c>
      <c r="P40" s="13">
        <v>5</v>
      </c>
      <c r="Q40" s="2">
        <v>5</v>
      </c>
      <c r="R40" s="13">
        <v>6</v>
      </c>
      <c r="S40" s="13">
        <v>7</v>
      </c>
      <c r="T40" s="2">
        <v>7</v>
      </c>
      <c r="U40" s="10">
        <v>5</v>
      </c>
      <c r="V40" s="2">
        <v>7</v>
      </c>
      <c r="W40" s="1">
        <f t="shared" si="12"/>
        <v>56</v>
      </c>
      <c r="X40" s="32">
        <v>20</v>
      </c>
      <c r="Y40" s="32">
        <f t="shared" ref="Y40:Y46" si="13">W40-X40</f>
        <v>36</v>
      </c>
    </row>
    <row r="41" spans="1:25" x14ac:dyDescent="0.35">
      <c r="A41" s="1" t="s">
        <v>0</v>
      </c>
      <c r="B41" s="2">
        <v>6</v>
      </c>
      <c r="C41" s="2">
        <v>4</v>
      </c>
      <c r="D41" s="2">
        <v>8</v>
      </c>
      <c r="E41" s="10">
        <v>4</v>
      </c>
      <c r="F41" s="2">
        <v>8</v>
      </c>
      <c r="G41" s="13">
        <v>6</v>
      </c>
      <c r="H41" s="2">
        <v>7</v>
      </c>
      <c r="I41" s="16">
        <v>6</v>
      </c>
      <c r="J41" s="2">
        <v>8</v>
      </c>
      <c r="K41" s="1">
        <f t="shared" si="11"/>
        <v>57</v>
      </c>
      <c r="L41" s="32">
        <v>18</v>
      </c>
      <c r="M41" s="32">
        <f t="shared" ref="M41:M46" si="14">K41-L41</f>
        <v>39</v>
      </c>
      <c r="N41" s="13">
        <v>5</v>
      </c>
      <c r="O41" s="2">
        <v>10</v>
      </c>
      <c r="P41" s="13">
        <v>7</v>
      </c>
      <c r="Q41" s="2">
        <v>6</v>
      </c>
      <c r="R41" s="13">
        <v>7</v>
      </c>
      <c r="S41" s="13">
        <v>8</v>
      </c>
      <c r="T41" s="2">
        <v>5</v>
      </c>
      <c r="U41" s="10">
        <v>4</v>
      </c>
      <c r="V41" s="2">
        <v>7</v>
      </c>
      <c r="W41" s="1">
        <f t="shared" si="12"/>
        <v>59</v>
      </c>
      <c r="X41" s="32">
        <v>18</v>
      </c>
      <c r="Y41" s="32">
        <f t="shared" si="13"/>
        <v>41</v>
      </c>
    </row>
    <row r="42" spans="1:25" x14ac:dyDescent="0.35">
      <c r="A42" s="1" t="s">
        <v>2</v>
      </c>
      <c r="B42" s="2">
        <v>5</v>
      </c>
      <c r="C42" s="2">
        <v>3</v>
      </c>
      <c r="D42" s="2">
        <v>6</v>
      </c>
      <c r="E42" s="10">
        <v>4</v>
      </c>
      <c r="F42" s="2">
        <v>5</v>
      </c>
      <c r="G42" s="13">
        <v>5</v>
      </c>
      <c r="H42" s="2">
        <v>6</v>
      </c>
      <c r="I42" s="16">
        <v>4</v>
      </c>
      <c r="J42" s="2">
        <v>5</v>
      </c>
      <c r="K42" s="1">
        <f t="shared" si="11"/>
        <v>43</v>
      </c>
      <c r="L42" s="32">
        <v>6</v>
      </c>
      <c r="M42" s="32">
        <f t="shared" si="14"/>
        <v>37</v>
      </c>
      <c r="N42" s="13">
        <v>4</v>
      </c>
      <c r="O42" s="2">
        <v>5</v>
      </c>
      <c r="P42" s="13">
        <v>3</v>
      </c>
      <c r="Q42" s="2">
        <v>4</v>
      </c>
      <c r="R42" s="13">
        <v>4</v>
      </c>
      <c r="S42" s="13">
        <v>4</v>
      </c>
      <c r="T42" s="2">
        <v>4</v>
      </c>
      <c r="U42" s="10">
        <v>4</v>
      </c>
      <c r="V42" s="2">
        <v>4</v>
      </c>
      <c r="W42" s="1">
        <f t="shared" si="12"/>
        <v>36</v>
      </c>
      <c r="X42" s="32">
        <v>6</v>
      </c>
      <c r="Y42" s="32">
        <f t="shared" si="13"/>
        <v>30</v>
      </c>
    </row>
    <row r="43" spans="1:25" x14ac:dyDescent="0.35">
      <c r="A43" s="1" t="s">
        <v>103</v>
      </c>
      <c r="B43" s="2">
        <v>5</v>
      </c>
      <c r="C43" s="2">
        <v>3</v>
      </c>
      <c r="D43" s="2">
        <v>4</v>
      </c>
      <c r="E43" s="10">
        <v>3</v>
      </c>
      <c r="F43" s="2">
        <v>4</v>
      </c>
      <c r="G43" s="13">
        <v>4</v>
      </c>
      <c r="H43" s="2">
        <v>5</v>
      </c>
      <c r="I43" s="16">
        <v>5</v>
      </c>
      <c r="J43" s="2">
        <v>5</v>
      </c>
      <c r="K43" s="1">
        <f t="shared" si="11"/>
        <v>38</v>
      </c>
      <c r="L43" s="32">
        <v>8</v>
      </c>
      <c r="M43" s="32">
        <f t="shared" si="14"/>
        <v>30</v>
      </c>
      <c r="N43" s="13">
        <v>6</v>
      </c>
      <c r="O43" s="2">
        <v>4</v>
      </c>
      <c r="P43" s="13">
        <v>2</v>
      </c>
      <c r="Q43" s="2">
        <v>4</v>
      </c>
      <c r="R43" s="13">
        <v>5</v>
      </c>
      <c r="S43" s="13">
        <v>5</v>
      </c>
      <c r="T43" s="2">
        <v>5</v>
      </c>
      <c r="U43" s="10">
        <v>5</v>
      </c>
      <c r="V43" s="2">
        <v>5</v>
      </c>
      <c r="W43" s="1">
        <f t="shared" si="12"/>
        <v>41</v>
      </c>
      <c r="X43" s="32">
        <v>8</v>
      </c>
      <c r="Y43" s="32">
        <f t="shared" si="13"/>
        <v>33</v>
      </c>
    </row>
    <row r="44" spans="1:25" x14ac:dyDescent="0.35">
      <c r="A44" s="1" t="s">
        <v>3</v>
      </c>
      <c r="B44" s="2">
        <v>5</v>
      </c>
      <c r="C44" s="2">
        <v>3</v>
      </c>
      <c r="D44" s="2">
        <v>4</v>
      </c>
      <c r="E44" s="10">
        <v>4</v>
      </c>
      <c r="F44" s="2">
        <v>4</v>
      </c>
      <c r="G44" s="13">
        <v>6</v>
      </c>
      <c r="H44" s="2">
        <v>4</v>
      </c>
      <c r="I44" s="16">
        <v>4</v>
      </c>
      <c r="J44" s="2">
        <v>5</v>
      </c>
      <c r="K44" s="1">
        <f t="shared" si="11"/>
        <v>39</v>
      </c>
      <c r="L44" s="32">
        <v>7</v>
      </c>
      <c r="M44" s="32">
        <f t="shared" si="14"/>
        <v>32</v>
      </c>
      <c r="N44" s="13">
        <v>4</v>
      </c>
      <c r="O44" s="2">
        <v>6</v>
      </c>
      <c r="P44" s="13">
        <v>4</v>
      </c>
      <c r="Q44" s="2">
        <v>4</v>
      </c>
      <c r="R44" s="13">
        <v>5</v>
      </c>
      <c r="S44" s="13">
        <v>9</v>
      </c>
      <c r="T44" s="2">
        <v>4</v>
      </c>
      <c r="U44" s="10">
        <v>3</v>
      </c>
      <c r="V44" s="2">
        <v>5</v>
      </c>
      <c r="W44" s="1">
        <f t="shared" si="12"/>
        <v>44</v>
      </c>
      <c r="X44" s="32">
        <v>7</v>
      </c>
      <c r="Y44" s="32">
        <f t="shared" si="13"/>
        <v>37</v>
      </c>
    </row>
    <row r="45" spans="1:25" x14ac:dyDescent="0.35">
      <c r="A45" s="1" t="s">
        <v>4</v>
      </c>
      <c r="B45" s="2">
        <v>6</v>
      </c>
      <c r="C45" s="2">
        <v>3</v>
      </c>
      <c r="D45" s="2">
        <v>5</v>
      </c>
      <c r="E45" s="10">
        <v>4</v>
      </c>
      <c r="F45" s="2">
        <v>5</v>
      </c>
      <c r="G45" s="13">
        <v>4</v>
      </c>
      <c r="H45" s="2">
        <v>5</v>
      </c>
      <c r="I45" s="16">
        <v>7</v>
      </c>
      <c r="J45" s="2">
        <v>5</v>
      </c>
      <c r="K45" s="1">
        <f t="shared" si="11"/>
        <v>44</v>
      </c>
      <c r="L45" s="32">
        <v>7</v>
      </c>
      <c r="M45" s="32">
        <f t="shared" si="14"/>
        <v>37</v>
      </c>
      <c r="N45" s="13">
        <v>5</v>
      </c>
      <c r="O45" s="2">
        <v>3</v>
      </c>
      <c r="P45" s="13">
        <v>4</v>
      </c>
      <c r="Q45" s="2">
        <v>5</v>
      </c>
      <c r="R45" s="13">
        <v>4</v>
      </c>
      <c r="S45" s="13">
        <v>4</v>
      </c>
      <c r="T45" s="2">
        <v>6</v>
      </c>
      <c r="U45" s="10">
        <v>3</v>
      </c>
      <c r="V45" s="2">
        <v>4</v>
      </c>
      <c r="W45" s="1">
        <f t="shared" si="12"/>
        <v>38</v>
      </c>
      <c r="X45" s="32">
        <v>7</v>
      </c>
      <c r="Y45" s="32">
        <f t="shared" si="13"/>
        <v>31</v>
      </c>
    </row>
    <row r="46" spans="1:25" x14ac:dyDescent="0.35">
      <c r="A46" s="1" t="s">
        <v>7</v>
      </c>
      <c r="B46" s="2"/>
      <c r="C46" s="2"/>
      <c r="D46" s="2"/>
      <c r="E46" s="10"/>
      <c r="F46" s="2"/>
      <c r="G46" s="13"/>
      <c r="H46" s="2"/>
      <c r="I46" s="16"/>
      <c r="J46" s="2"/>
      <c r="K46" s="1">
        <f t="shared" si="11"/>
        <v>0</v>
      </c>
      <c r="L46" s="32">
        <v>4</v>
      </c>
      <c r="M46" s="32">
        <f t="shared" si="14"/>
        <v>-4</v>
      </c>
      <c r="N46" s="13"/>
      <c r="O46" s="2"/>
      <c r="P46" s="13"/>
      <c r="Q46" s="2"/>
      <c r="R46" s="13"/>
      <c r="S46" s="13"/>
      <c r="T46" s="2"/>
      <c r="U46" s="10"/>
      <c r="V46" s="2"/>
      <c r="W46" s="1">
        <f t="shared" si="12"/>
        <v>0</v>
      </c>
      <c r="X46" s="32">
        <v>4</v>
      </c>
      <c r="Y46" s="32">
        <f t="shared" si="13"/>
        <v>-4</v>
      </c>
    </row>
    <row r="47" spans="1:25" x14ac:dyDescent="0.35">
      <c r="E47" s="9" t="s">
        <v>66</v>
      </c>
      <c r="T47" s="22"/>
      <c r="U47" s="9" t="s">
        <v>115</v>
      </c>
    </row>
    <row r="49" spans="1:25" x14ac:dyDescent="0.35">
      <c r="A49" s="1" t="s">
        <v>120</v>
      </c>
      <c r="B49" s="1">
        <v>1</v>
      </c>
      <c r="C49" s="1">
        <v>2</v>
      </c>
      <c r="D49" s="1">
        <v>3</v>
      </c>
      <c r="E49" s="1">
        <v>4</v>
      </c>
      <c r="F49" s="1">
        <v>5</v>
      </c>
      <c r="G49" s="1">
        <v>6</v>
      </c>
      <c r="H49" s="9">
        <v>7</v>
      </c>
      <c r="I49" s="14">
        <v>8</v>
      </c>
      <c r="J49" s="1">
        <v>9</v>
      </c>
      <c r="K49" s="1" t="s">
        <v>9</v>
      </c>
      <c r="L49" s="1" t="s">
        <v>14</v>
      </c>
      <c r="M49" s="1" t="s">
        <v>20</v>
      </c>
      <c r="N49" s="1">
        <v>10</v>
      </c>
      <c r="O49" s="1">
        <v>11</v>
      </c>
      <c r="P49" s="1">
        <v>12</v>
      </c>
      <c r="Q49" s="1">
        <v>13</v>
      </c>
      <c r="R49" s="14">
        <v>14</v>
      </c>
      <c r="S49" s="1">
        <v>15</v>
      </c>
      <c r="T49" s="1">
        <v>16</v>
      </c>
      <c r="U49" s="9">
        <v>17</v>
      </c>
      <c r="V49" s="1">
        <v>18</v>
      </c>
      <c r="W49" s="1" t="s">
        <v>9</v>
      </c>
      <c r="X49" s="1" t="s">
        <v>14</v>
      </c>
      <c r="Y49" s="1" t="s">
        <v>20</v>
      </c>
    </row>
    <row r="50" spans="1:25" x14ac:dyDescent="0.35">
      <c r="A50" s="1" t="s">
        <v>15</v>
      </c>
      <c r="B50" s="1">
        <v>4</v>
      </c>
      <c r="C50" s="1">
        <v>3</v>
      </c>
      <c r="D50" s="1">
        <v>5</v>
      </c>
      <c r="E50" s="1">
        <v>4</v>
      </c>
      <c r="F50" s="1">
        <v>5</v>
      </c>
      <c r="G50" s="1">
        <v>4</v>
      </c>
      <c r="H50" s="9">
        <v>3</v>
      </c>
      <c r="I50" s="14">
        <v>4</v>
      </c>
      <c r="J50" s="1">
        <v>4</v>
      </c>
      <c r="K50" s="1">
        <f>SUM(B50:J50)</f>
        <v>36</v>
      </c>
      <c r="L50" s="7"/>
      <c r="M50" s="7"/>
      <c r="N50" s="1">
        <v>5</v>
      </c>
      <c r="O50" s="1">
        <v>3</v>
      </c>
      <c r="P50" s="1">
        <v>4</v>
      </c>
      <c r="Q50" s="1">
        <v>4</v>
      </c>
      <c r="R50" s="14">
        <v>4</v>
      </c>
      <c r="S50" s="1">
        <v>3</v>
      </c>
      <c r="T50" s="1">
        <v>4</v>
      </c>
      <c r="U50" s="9">
        <v>3</v>
      </c>
      <c r="V50" s="1">
        <v>5</v>
      </c>
      <c r="W50" s="1">
        <f>SUM(N50:V50)</f>
        <v>35</v>
      </c>
      <c r="X50" s="8"/>
      <c r="Y50" s="7"/>
    </row>
    <row r="51" spans="1:25" x14ac:dyDescent="0.35">
      <c r="A51" s="1" t="s">
        <v>1</v>
      </c>
      <c r="B51" s="5"/>
      <c r="C51" s="5"/>
      <c r="D51" s="5"/>
      <c r="E51" s="5"/>
      <c r="F51" s="5"/>
      <c r="G51" s="5"/>
      <c r="H51" s="5"/>
      <c r="I51" s="15"/>
      <c r="J51" s="5"/>
      <c r="K51" s="5"/>
      <c r="L51" s="5"/>
      <c r="M51" s="5"/>
      <c r="N51" s="5"/>
      <c r="O51" s="5"/>
      <c r="P51" s="5"/>
      <c r="Q51" s="5"/>
      <c r="R51" s="15"/>
      <c r="S51" s="5"/>
      <c r="T51" s="5"/>
      <c r="U51" s="5"/>
      <c r="V51" s="5"/>
      <c r="W51" s="5"/>
      <c r="X51" s="5"/>
      <c r="Y51" s="5"/>
    </row>
    <row r="52" spans="1:25" x14ac:dyDescent="0.35">
      <c r="A52" s="1" t="s">
        <v>5</v>
      </c>
      <c r="B52" s="2">
        <v>5</v>
      </c>
      <c r="C52" s="2">
        <v>8</v>
      </c>
      <c r="D52" s="2">
        <v>6</v>
      </c>
      <c r="E52" s="2">
        <v>5</v>
      </c>
      <c r="F52" s="2">
        <v>8</v>
      </c>
      <c r="G52" s="2">
        <v>5</v>
      </c>
      <c r="H52" s="10">
        <v>8</v>
      </c>
      <c r="I52" s="16">
        <v>6</v>
      </c>
      <c r="J52" s="2">
        <v>7</v>
      </c>
      <c r="K52" s="1">
        <f>SUM(B52:J52)</f>
        <v>58</v>
      </c>
      <c r="L52" s="32">
        <v>22</v>
      </c>
      <c r="M52" s="32">
        <f>K52-L52</f>
        <v>36</v>
      </c>
      <c r="N52" s="2">
        <v>5</v>
      </c>
      <c r="O52" s="2">
        <v>3</v>
      </c>
      <c r="P52" s="2">
        <v>8</v>
      </c>
      <c r="Q52" s="2">
        <v>3</v>
      </c>
      <c r="R52" s="16">
        <v>5</v>
      </c>
      <c r="S52" s="2">
        <v>4</v>
      </c>
      <c r="T52" s="2">
        <v>5</v>
      </c>
      <c r="U52" s="10">
        <v>4</v>
      </c>
      <c r="V52" s="2">
        <v>4</v>
      </c>
      <c r="W52" s="1">
        <f t="shared" ref="W52:W59" si="15">SUM(N52:V52)</f>
        <v>41</v>
      </c>
      <c r="X52" s="32">
        <v>22</v>
      </c>
      <c r="Y52" s="32">
        <f>W52-X52</f>
        <v>19</v>
      </c>
    </row>
    <row r="53" spans="1:25" x14ac:dyDescent="0.35">
      <c r="A53" s="1" t="s">
        <v>8</v>
      </c>
      <c r="B53" s="2">
        <v>6</v>
      </c>
      <c r="C53" s="2">
        <v>6</v>
      </c>
      <c r="D53" s="2">
        <v>5</v>
      </c>
      <c r="E53" s="2">
        <v>4</v>
      </c>
      <c r="F53" s="2">
        <v>9</v>
      </c>
      <c r="G53" s="2">
        <v>6</v>
      </c>
      <c r="H53" s="10">
        <v>4</v>
      </c>
      <c r="I53" s="16">
        <v>5</v>
      </c>
      <c r="J53" s="2">
        <v>6</v>
      </c>
      <c r="K53" s="1">
        <f t="shared" ref="K53:K59" si="16">SUM(B53:J53)</f>
        <v>51</v>
      </c>
      <c r="L53" s="32">
        <v>20</v>
      </c>
      <c r="M53" s="32">
        <f t="shared" ref="M53:M59" si="17">K53-L53</f>
        <v>31</v>
      </c>
      <c r="N53" s="2">
        <v>6</v>
      </c>
      <c r="O53" s="2">
        <v>4</v>
      </c>
      <c r="P53" s="2">
        <v>7</v>
      </c>
      <c r="Q53" s="2">
        <v>5</v>
      </c>
      <c r="R53" s="16">
        <v>6</v>
      </c>
      <c r="S53" s="2">
        <v>3</v>
      </c>
      <c r="T53" s="2">
        <v>6</v>
      </c>
      <c r="U53" s="10">
        <v>5</v>
      </c>
      <c r="V53" s="2">
        <v>7</v>
      </c>
      <c r="W53" s="1">
        <f t="shared" si="15"/>
        <v>49</v>
      </c>
      <c r="X53" s="32">
        <v>20</v>
      </c>
      <c r="Y53" s="32">
        <f t="shared" ref="Y53:Y59" si="18">W53-X53</f>
        <v>29</v>
      </c>
    </row>
    <row r="54" spans="1:25" x14ac:dyDescent="0.35">
      <c r="A54" s="1" t="s">
        <v>0</v>
      </c>
      <c r="B54" s="2">
        <v>5</v>
      </c>
      <c r="C54" s="2">
        <v>7</v>
      </c>
      <c r="D54" s="2">
        <v>4</v>
      </c>
      <c r="E54" s="2">
        <v>5</v>
      </c>
      <c r="F54" s="2">
        <v>8</v>
      </c>
      <c r="G54" s="2">
        <v>8</v>
      </c>
      <c r="H54" s="10">
        <v>4</v>
      </c>
      <c r="I54" s="16">
        <v>6</v>
      </c>
      <c r="J54" s="2">
        <v>8</v>
      </c>
      <c r="K54" s="1">
        <f t="shared" si="16"/>
        <v>55</v>
      </c>
      <c r="L54" s="32">
        <v>18</v>
      </c>
      <c r="M54" s="32">
        <f t="shared" si="17"/>
        <v>37</v>
      </c>
      <c r="N54" s="2">
        <v>5</v>
      </c>
      <c r="O54" s="2">
        <v>4</v>
      </c>
      <c r="P54" s="2">
        <v>5</v>
      </c>
      <c r="Q54" s="2">
        <v>3</v>
      </c>
      <c r="R54" s="16">
        <v>9</v>
      </c>
      <c r="S54" s="2">
        <v>4</v>
      </c>
      <c r="T54" s="2">
        <v>5</v>
      </c>
      <c r="U54" s="10">
        <v>4</v>
      </c>
      <c r="V54" s="2">
        <v>5</v>
      </c>
      <c r="W54" s="1">
        <f t="shared" si="15"/>
        <v>44</v>
      </c>
      <c r="X54" s="32">
        <v>18</v>
      </c>
      <c r="Y54" s="32">
        <f t="shared" si="18"/>
        <v>26</v>
      </c>
    </row>
    <row r="55" spans="1:25" x14ac:dyDescent="0.35">
      <c r="A55" s="1" t="s">
        <v>2</v>
      </c>
      <c r="B55" s="2">
        <v>5</v>
      </c>
      <c r="C55" s="2">
        <v>4</v>
      </c>
      <c r="D55" s="2">
        <v>5</v>
      </c>
      <c r="E55" s="2">
        <v>5</v>
      </c>
      <c r="F55" s="2">
        <v>6</v>
      </c>
      <c r="G55" s="2">
        <v>4</v>
      </c>
      <c r="H55" s="10">
        <v>3</v>
      </c>
      <c r="I55" s="16">
        <v>5</v>
      </c>
      <c r="J55" s="2">
        <v>3</v>
      </c>
      <c r="K55" s="1">
        <f t="shared" si="16"/>
        <v>40</v>
      </c>
      <c r="L55" s="32">
        <v>5</v>
      </c>
      <c r="M55" s="32">
        <f t="shared" si="17"/>
        <v>35</v>
      </c>
      <c r="N55" s="2">
        <v>4</v>
      </c>
      <c r="O55" s="2">
        <v>3</v>
      </c>
      <c r="P55" s="2">
        <v>4</v>
      </c>
      <c r="Q55" s="2">
        <v>4</v>
      </c>
      <c r="R55" s="16">
        <v>7</v>
      </c>
      <c r="S55" s="2">
        <v>4</v>
      </c>
      <c r="T55" s="2">
        <v>4</v>
      </c>
      <c r="U55" s="10">
        <v>2</v>
      </c>
      <c r="V55" s="2">
        <v>7</v>
      </c>
      <c r="W55" s="1">
        <f t="shared" si="15"/>
        <v>39</v>
      </c>
      <c r="X55" s="32">
        <v>6</v>
      </c>
      <c r="Y55" s="32">
        <f t="shared" si="18"/>
        <v>33</v>
      </c>
    </row>
    <row r="56" spans="1:25" x14ac:dyDescent="0.35">
      <c r="A56" s="1" t="s">
        <v>103</v>
      </c>
      <c r="B56" s="2">
        <v>5</v>
      </c>
      <c r="C56" s="2">
        <v>4</v>
      </c>
      <c r="D56" s="2">
        <v>5</v>
      </c>
      <c r="E56" s="2">
        <v>4</v>
      </c>
      <c r="F56" s="2">
        <v>6</v>
      </c>
      <c r="G56" s="2">
        <v>5</v>
      </c>
      <c r="H56" s="10">
        <v>3</v>
      </c>
      <c r="I56" s="16">
        <v>4</v>
      </c>
      <c r="J56" s="2">
        <v>4</v>
      </c>
      <c r="K56" s="1">
        <f t="shared" si="16"/>
        <v>40</v>
      </c>
      <c r="L56" s="32">
        <v>8</v>
      </c>
      <c r="M56" s="32">
        <f t="shared" si="17"/>
        <v>32</v>
      </c>
      <c r="N56" s="2">
        <v>5</v>
      </c>
      <c r="O56" s="2">
        <v>3</v>
      </c>
      <c r="P56" s="2">
        <v>6</v>
      </c>
      <c r="Q56" s="2">
        <v>4</v>
      </c>
      <c r="R56" s="16">
        <v>3</v>
      </c>
      <c r="S56" s="2">
        <v>3</v>
      </c>
      <c r="T56" s="2">
        <v>5</v>
      </c>
      <c r="U56" s="10">
        <v>4</v>
      </c>
      <c r="V56" s="2">
        <v>4</v>
      </c>
      <c r="W56" s="1">
        <f t="shared" si="15"/>
        <v>37</v>
      </c>
      <c r="X56" s="32">
        <v>8</v>
      </c>
      <c r="Y56" s="32">
        <f t="shared" si="18"/>
        <v>29</v>
      </c>
    </row>
    <row r="57" spans="1:25" x14ac:dyDescent="0.35">
      <c r="A57" s="1" t="s">
        <v>3</v>
      </c>
      <c r="B57" s="2">
        <v>4</v>
      </c>
      <c r="C57" s="2">
        <v>4</v>
      </c>
      <c r="D57" s="2">
        <v>5</v>
      </c>
      <c r="E57" s="2">
        <v>4</v>
      </c>
      <c r="F57" s="2">
        <v>8</v>
      </c>
      <c r="G57" s="2">
        <v>4</v>
      </c>
      <c r="H57" s="10">
        <v>3</v>
      </c>
      <c r="I57" s="16">
        <v>4</v>
      </c>
      <c r="J57" s="2">
        <v>5</v>
      </c>
      <c r="K57" s="1">
        <f t="shared" si="16"/>
        <v>41</v>
      </c>
      <c r="L57" s="32">
        <v>7</v>
      </c>
      <c r="M57" s="32">
        <f t="shared" si="17"/>
        <v>34</v>
      </c>
      <c r="N57" s="2">
        <v>6</v>
      </c>
      <c r="O57" s="2">
        <v>3</v>
      </c>
      <c r="P57" s="2">
        <v>6</v>
      </c>
      <c r="Q57" s="2">
        <v>5</v>
      </c>
      <c r="R57" s="16">
        <v>6</v>
      </c>
      <c r="S57" s="2">
        <v>4</v>
      </c>
      <c r="T57" s="2">
        <v>4</v>
      </c>
      <c r="U57" s="10">
        <v>4</v>
      </c>
      <c r="V57" s="2">
        <v>5</v>
      </c>
      <c r="W57" s="1">
        <f t="shared" si="15"/>
        <v>43</v>
      </c>
      <c r="X57" s="32">
        <v>7</v>
      </c>
      <c r="Y57" s="32">
        <f t="shared" si="18"/>
        <v>36</v>
      </c>
    </row>
    <row r="58" spans="1:25" x14ac:dyDescent="0.35">
      <c r="A58" s="1" t="s">
        <v>4</v>
      </c>
      <c r="B58" s="2">
        <v>5</v>
      </c>
      <c r="C58" s="2">
        <v>4</v>
      </c>
      <c r="D58" s="2">
        <v>6</v>
      </c>
      <c r="E58" s="2">
        <v>7</v>
      </c>
      <c r="F58" s="2">
        <v>6</v>
      </c>
      <c r="G58" s="2">
        <v>4</v>
      </c>
      <c r="H58" s="10">
        <v>3</v>
      </c>
      <c r="I58" s="16">
        <v>5</v>
      </c>
      <c r="J58" s="2">
        <v>4</v>
      </c>
      <c r="K58" s="1">
        <f t="shared" si="16"/>
        <v>44</v>
      </c>
      <c r="L58" s="32">
        <v>7</v>
      </c>
      <c r="M58" s="32">
        <f t="shared" si="17"/>
        <v>37</v>
      </c>
      <c r="N58" s="2">
        <v>5</v>
      </c>
      <c r="O58" s="2">
        <v>3</v>
      </c>
      <c r="P58" s="2">
        <v>5</v>
      </c>
      <c r="Q58" s="2">
        <v>4</v>
      </c>
      <c r="R58" s="16">
        <v>4</v>
      </c>
      <c r="S58" s="2">
        <v>3</v>
      </c>
      <c r="T58" s="2">
        <v>4</v>
      </c>
      <c r="U58" s="10">
        <v>3</v>
      </c>
      <c r="V58" s="2">
        <v>6</v>
      </c>
      <c r="W58" s="1">
        <f>SUM(N58:V58)</f>
        <v>37</v>
      </c>
      <c r="X58" s="32">
        <v>7</v>
      </c>
      <c r="Y58" s="32">
        <f t="shared" si="18"/>
        <v>30</v>
      </c>
    </row>
    <row r="59" spans="1:25" x14ac:dyDescent="0.35">
      <c r="A59" s="1" t="s">
        <v>7</v>
      </c>
      <c r="B59" s="2">
        <v>4</v>
      </c>
      <c r="C59" s="2">
        <v>4</v>
      </c>
      <c r="D59" s="2">
        <v>4</v>
      </c>
      <c r="E59" s="2">
        <v>5</v>
      </c>
      <c r="F59" s="2">
        <v>5</v>
      </c>
      <c r="G59" s="2">
        <v>5</v>
      </c>
      <c r="H59" s="10">
        <v>4</v>
      </c>
      <c r="I59" s="16">
        <v>4</v>
      </c>
      <c r="J59" s="2">
        <v>7</v>
      </c>
      <c r="K59" s="1">
        <f t="shared" si="16"/>
        <v>42</v>
      </c>
      <c r="L59" s="32">
        <v>4</v>
      </c>
      <c r="M59" s="32">
        <f t="shared" si="17"/>
        <v>38</v>
      </c>
      <c r="N59" s="2"/>
      <c r="O59" s="2"/>
      <c r="P59" s="2"/>
      <c r="Q59" s="2"/>
      <c r="R59" s="16"/>
      <c r="S59" s="2"/>
      <c r="T59" s="2"/>
      <c r="U59" s="10"/>
      <c r="V59" s="2"/>
      <c r="W59" s="1">
        <f t="shared" si="15"/>
        <v>0</v>
      </c>
      <c r="X59" s="32">
        <v>4</v>
      </c>
      <c r="Y59" s="32">
        <f t="shared" si="18"/>
        <v>-4</v>
      </c>
    </row>
    <row r="60" spans="1:25" x14ac:dyDescent="0.35">
      <c r="C60" t="s">
        <v>63</v>
      </c>
      <c r="D60" s="22"/>
      <c r="E60" s="22"/>
      <c r="F60" s="22"/>
      <c r="G60" s="22"/>
      <c r="H60" s="9" t="s">
        <v>121</v>
      </c>
      <c r="O60" t="s">
        <v>122</v>
      </c>
      <c r="S60" t="s">
        <v>68</v>
      </c>
      <c r="T60" s="22"/>
      <c r="U60" s="9" t="s">
        <v>123</v>
      </c>
    </row>
  </sheetData>
  <mergeCells count="3">
    <mergeCell ref="A12:N12"/>
    <mergeCell ref="P12:Q12"/>
    <mergeCell ref="T12:Z12"/>
  </mergeCell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91A4E-E762-4980-94D9-6A6EE4B35E97}">
  <sheetPr>
    <outlinePr showOutlineSymbols="0"/>
  </sheetPr>
  <dimension ref="A1:Z60"/>
  <sheetViews>
    <sheetView showOutlineSymbols="0" zoomScale="60" zoomScaleNormal="60" workbookViewId="0">
      <selection activeCell="A2" sqref="A2"/>
    </sheetView>
  </sheetViews>
  <sheetFormatPr defaultRowHeight="14.5" outlineLevelRow="1" outlineLevelCol="2" x14ac:dyDescent="0.35"/>
  <cols>
    <col min="1" max="1" width="10.7265625" bestFit="1" customWidth="1"/>
    <col min="2" max="2" width="11.36328125" bestFit="1" customWidth="1" outlineLevel="2"/>
    <col min="3" max="10" width="9.1796875" outlineLevel="2"/>
    <col min="11" max="12" width="9.1796875" outlineLevel="1"/>
    <col min="14" max="22" width="9.1796875" outlineLevel="2"/>
    <col min="23" max="24" width="9.1796875" outlineLevel="1"/>
  </cols>
  <sheetData>
    <row r="1" spans="1:26" x14ac:dyDescent="0.35">
      <c r="A1" s="19" t="s">
        <v>1</v>
      </c>
      <c r="B1" t="s">
        <v>43</v>
      </c>
    </row>
    <row r="2" spans="1:26" x14ac:dyDescent="0.35">
      <c r="A2" s="20" t="s">
        <v>2</v>
      </c>
      <c r="B2">
        <v>43</v>
      </c>
    </row>
    <row r="3" spans="1:26" x14ac:dyDescent="0.35">
      <c r="A3" s="20" t="s">
        <v>3</v>
      </c>
      <c r="B3">
        <v>33</v>
      </c>
    </row>
    <row r="4" spans="1:26" x14ac:dyDescent="0.35">
      <c r="A4" s="20" t="s">
        <v>4</v>
      </c>
      <c r="B4">
        <v>29.5</v>
      </c>
    </row>
    <row r="5" spans="1:26" x14ac:dyDescent="0.35">
      <c r="A5" s="20" t="s">
        <v>5</v>
      </c>
      <c r="B5">
        <v>28</v>
      </c>
    </row>
    <row r="6" spans="1:26" x14ac:dyDescent="0.35">
      <c r="A6" s="20" t="s">
        <v>103</v>
      </c>
      <c r="B6">
        <v>27</v>
      </c>
    </row>
    <row r="7" spans="1:26" x14ac:dyDescent="0.35">
      <c r="A7" s="20" t="s">
        <v>0</v>
      </c>
      <c r="B7">
        <v>23.5</v>
      </c>
    </row>
    <row r="8" spans="1:26" x14ac:dyDescent="0.35">
      <c r="A8" s="20" t="s">
        <v>7</v>
      </c>
      <c r="B8">
        <v>17</v>
      </c>
    </row>
    <row r="9" spans="1:26" x14ac:dyDescent="0.35">
      <c r="A9" s="20" t="s">
        <v>8</v>
      </c>
      <c r="B9">
        <v>15</v>
      </c>
    </row>
    <row r="10" spans="1:26" x14ac:dyDescent="0.35">
      <c r="A10" s="20" t="s">
        <v>42</v>
      </c>
      <c r="B10">
        <v>216</v>
      </c>
    </row>
    <row r="12" spans="1:26" x14ac:dyDescent="0.35">
      <c r="A12" s="44" t="s">
        <v>19</v>
      </c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P12" s="45" t="s">
        <v>27</v>
      </c>
      <c r="Q12" s="46"/>
      <c r="R12" s="17" t="s">
        <v>36</v>
      </c>
      <c r="T12" s="44" t="s">
        <v>37</v>
      </c>
      <c r="U12" s="44"/>
      <c r="V12" s="44"/>
      <c r="W12" s="44"/>
      <c r="X12" s="44"/>
      <c r="Y12" s="44"/>
      <c r="Z12" s="44"/>
    </row>
    <row r="13" spans="1:26" x14ac:dyDescent="0.35">
      <c r="A13" s="1" t="s">
        <v>1</v>
      </c>
      <c r="B13" s="1" t="s">
        <v>12</v>
      </c>
      <c r="C13" s="1" t="s">
        <v>27</v>
      </c>
      <c r="D13" s="1" t="s">
        <v>13</v>
      </c>
      <c r="E13" s="1" t="s">
        <v>27</v>
      </c>
      <c r="F13" s="1" t="s">
        <v>23</v>
      </c>
      <c r="G13" s="1" t="s">
        <v>27</v>
      </c>
      <c r="H13" s="1" t="s">
        <v>24</v>
      </c>
      <c r="I13" s="1" t="s">
        <v>27</v>
      </c>
      <c r="J13" s="1" t="s">
        <v>25</v>
      </c>
      <c r="K13" s="1" t="s">
        <v>27</v>
      </c>
      <c r="L13" s="1" t="s">
        <v>26</v>
      </c>
      <c r="M13" s="1" t="s">
        <v>27</v>
      </c>
      <c r="N13" s="1" t="s">
        <v>9</v>
      </c>
      <c r="P13" s="1" t="s">
        <v>28</v>
      </c>
      <c r="Q13" s="2">
        <v>8</v>
      </c>
      <c r="T13" s="1" t="s">
        <v>1</v>
      </c>
      <c r="U13" s="1" t="s">
        <v>12</v>
      </c>
      <c r="V13" s="1" t="s">
        <v>13</v>
      </c>
      <c r="W13" s="1" t="s">
        <v>23</v>
      </c>
      <c r="X13" s="1" t="s">
        <v>24</v>
      </c>
      <c r="Y13" s="1" t="s">
        <v>25</v>
      </c>
      <c r="Z13" s="1" t="s">
        <v>26</v>
      </c>
    </row>
    <row r="14" spans="1:26" x14ac:dyDescent="0.35">
      <c r="A14" s="1" t="s">
        <v>5</v>
      </c>
      <c r="B14" s="2">
        <f>M26</f>
        <v>37</v>
      </c>
      <c r="C14" s="2">
        <v>5</v>
      </c>
      <c r="D14" s="3">
        <f t="shared" ref="D14:D21" si="0">Y26</f>
        <v>39</v>
      </c>
      <c r="E14" s="3">
        <v>4</v>
      </c>
      <c r="F14" s="2">
        <f>M39</f>
        <v>40</v>
      </c>
      <c r="G14" s="2">
        <v>5</v>
      </c>
      <c r="H14" s="2">
        <f>Y39</f>
        <v>45</v>
      </c>
      <c r="I14" s="2">
        <v>3</v>
      </c>
      <c r="J14" s="2">
        <f>M52</f>
        <v>35</v>
      </c>
      <c r="K14" s="2">
        <v>6</v>
      </c>
      <c r="L14" s="2">
        <f>Y52</f>
        <v>38</v>
      </c>
      <c r="M14" s="2">
        <v>5</v>
      </c>
      <c r="N14" s="18">
        <f t="shared" ref="N14:N21" si="1">C14+E14+G14+I14+K14+M14</f>
        <v>28</v>
      </c>
      <c r="P14" s="1" t="s">
        <v>29</v>
      </c>
      <c r="Q14" s="2">
        <v>7</v>
      </c>
      <c r="T14" s="1" t="s">
        <v>5</v>
      </c>
      <c r="U14" s="2" t="s">
        <v>40</v>
      </c>
      <c r="V14" s="2" t="s">
        <v>40</v>
      </c>
      <c r="W14" s="3" t="s">
        <v>40</v>
      </c>
      <c r="X14" s="3" t="s">
        <v>40</v>
      </c>
      <c r="Y14" s="2" t="s">
        <v>40</v>
      </c>
      <c r="Z14" s="10">
        <v>2.9</v>
      </c>
    </row>
    <row r="15" spans="1:26" x14ac:dyDescent="0.35">
      <c r="A15" s="1" t="s">
        <v>8</v>
      </c>
      <c r="B15" s="2">
        <f t="shared" ref="B15:B20" si="2">M27</f>
        <v>49.5</v>
      </c>
      <c r="C15" s="2">
        <v>1</v>
      </c>
      <c r="D15" s="3">
        <f t="shared" si="0"/>
        <v>40.5</v>
      </c>
      <c r="E15" s="3">
        <v>2</v>
      </c>
      <c r="F15" s="2">
        <f t="shared" ref="F15:F21" si="3">M40</f>
        <v>47.5</v>
      </c>
      <c r="G15" s="2">
        <v>2</v>
      </c>
      <c r="H15" s="2">
        <f>Y40</f>
        <v>42.5</v>
      </c>
      <c r="I15" s="2">
        <v>5</v>
      </c>
      <c r="J15" s="2">
        <f t="shared" ref="J15:J21" si="4">M53</f>
        <v>40.5</v>
      </c>
      <c r="K15" s="2">
        <v>3</v>
      </c>
      <c r="L15" s="2">
        <f t="shared" ref="L15:L21" si="5">Y53</f>
        <v>47.5</v>
      </c>
      <c r="M15" s="2">
        <v>2</v>
      </c>
      <c r="N15" s="18">
        <f t="shared" si="1"/>
        <v>15</v>
      </c>
      <c r="P15" s="1" t="s">
        <v>30</v>
      </c>
      <c r="Q15" s="2">
        <v>6</v>
      </c>
      <c r="T15" s="1" t="s">
        <v>8</v>
      </c>
      <c r="U15" s="2">
        <v>9.5</v>
      </c>
      <c r="V15" s="2" t="s">
        <v>40</v>
      </c>
      <c r="W15" s="3" t="s">
        <v>40</v>
      </c>
      <c r="X15" s="3" t="s">
        <v>40</v>
      </c>
      <c r="Y15" s="2" t="s">
        <v>40</v>
      </c>
      <c r="Z15" s="2" t="s">
        <v>40</v>
      </c>
    </row>
    <row r="16" spans="1:26" x14ac:dyDescent="0.35">
      <c r="A16" s="1" t="s">
        <v>0</v>
      </c>
      <c r="B16" s="2">
        <f t="shared" si="2"/>
        <v>32</v>
      </c>
      <c r="C16" s="2">
        <v>8</v>
      </c>
      <c r="D16" s="3">
        <f t="shared" si="0"/>
        <v>50</v>
      </c>
      <c r="E16" s="3">
        <v>1</v>
      </c>
      <c r="F16" s="2">
        <f t="shared" si="3"/>
        <v>44</v>
      </c>
      <c r="G16" s="2">
        <v>4</v>
      </c>
      <c r="H16" s="2">
        <f t="shared" ref="H16:H21" si="6">Y41</f>
        <v>49</v>
      </c>
      <c r="I16" s="2">
        <v>2</v>
      </c>
      <c r="J16" s="2">
        <f t="shared" si="4"/>
        <v>38</v>
      </c>
      <c r="K16" s="2">
        <v>5</v>
      </c>
      <c r="L16" s="2">
        <f t="shared" si="5"/>
        <v>42</v>
      </c>
      <c r="M16" s="2">
        <v>3.5</v>
      </c>
      <c r="N16" s="18">
        <f t="shared" si="1"/>
        <v>23.5</v>
      </c>
      <c r="P16" s="1" t="s">
        <v>31</v>
      </c>
      <c r="Q16" s="2">
        <v>5</v>
      </c>
      <c r="T16" s="1" t="s">
        <v>0</v>
      </c>
      <c r="U16" s="2">
        <v>7.9</v>
      </c>
      <c r="V16" s="2" t="s">
        <v>40</v>
      </c>
      <c r="W16" s="3" t="s">
        <v>40</v>
      </c>
      <c r="X16" s="3" t="s">
        <v>40</v>
      </c>
      <c r="Y16" s="2" t="s">
        <v>40</v>
      </c>
      <c r="Z16" s="2" t="s">
        <v>40</v>
      </c>
    </row>
    <row r="17" spans="1:26" x14ac:dyDescent="0.35">
      <c r="A17" s="1" t="s">
        <v>2</v>
      </c>
      <c r="B17" s="2">
        <f t="shared" si="2"/>
        <v>36.5</v>
      </c>
      <c r="C17" s="2">
        <v>6</v>
      </c>
      <c r="D17" s="3">
        <f t="shared" si="0"/>
        <v>34.5</v>
      </c>
      <c r="E17" s="3">
        <v>8</v>
      </c>
      <c r="F17" s="2">
        <f t="shared" si="3"/>
        <v>31.5</v>
      </c>
      <c r="G17" s="2">
        <v>8</v>
      </c>
      <c r="H17" s="2">
        <f t="shared" si="6"/>
        <v>35.5</v>
      </c>
      <c r="I17" s="2">
        <v>8</v>
      </c>
      <c r="J17" s="2">
        <f t="shared" si="4"/>
        <v>34.5</v>
      </c>
      <c r="K17" s="2">
        <v>7</v>
      </c>
      <c r="L17" s="2">
        <f t="shared" si="5"/>
        <v>36.5</v>
      </c>
      <c r="M17" s="2">
        <v>6</v>
      </c>
      <c r="N17" s="18">
        <f t="shared" si="1"/>
        <v>43</v>
      </c>
      <c r="P17" s="1" t="s">
        <v>32</v>
      </c>
      <c r="Q17" s="2">
        <v>4</v>
      </c>
      <c r="T17" s="1" t="s">
        <v>2</v>
      </c>
      <c r="U17" s="10">
        <v>3.5</v>
      </c>
      <c r="V17" s="2" t="s">
        <v>40</v>
      </c>
      <c r="W17" s="3" t="s">
        <v>40</v>
      </c>
      <c r="X17" s="3" t="s">
        <v>40</v>
      </c>
      <c r="Y17" s="2">
        <v>6.6</v>
      </c>
      <c r="Z17" s="2" t="s">
        <v>40</v>
      </c>
    </row>
    <row r="18" spans="1:26" x14ac:dyDescent="0.35">
      <c r="A18" s="1" t="s">
        <v>103</v>
      </c>
      <c r="B18" s="2">
        <f t="shared" si="2"/>
        <v>38</v>
      </c>
      <c r="C18" s="2">
        <v>3.5</v>
      </c>
      <c r="D18" s="3">
        <f t="shared" si="0"/>
        <v>37</v>
      </c>
      <c r="E18" s="3">
        <v>5</v>
      </c>
      <c r="F18" s="2">
        <f t="shared" si="3"/>
        <v>38</v>
      </c>
      <c r="G18" s="2">
        <v>7</v>
      </c>
      <c r="H18" s="2">
        <f t="shared" si="6"/>
        <v>39</v>
      </c>
      <c r="I18" s="2">
        <v>6</v>
      </c>
      <c r="J18" s="2">
        <f t="shared" si="4"/>
        <v>41</v>
      </c>
      <c r="K18" s="2">
        <v>2</v>
      </c>
      <c r="L18" s="2">
        <f t="shared" si="5"/>
        <v>42</v>
      </c>
      <c r="M18" s="2">
        <v>3.5</v>
      </c>
      <c r="N18" s="18">
        <f t="shared" si="1"/>
        <v>27</v>
      </c>
      <c r="P18" s="1" t="s">
        <v>33</v>
      </c>
      <c r="Q18" s="2">
        <v>3</v>
      </c>
      <c r="T18" s="1" t="s">
        <v>103</v>
      </c>
      <c r="U18" s="2" t="s">
        <v>40</v>
      </c>
      <c r="V18" s="2" t="s">
        <v>40</v>
      </c>
      <c r="W18" s="3" t="s">
        <v>40</v>
      </c>
      <c r="X18" s="21">
        <v>14.8</v>
      </c>
      <c r="Y18" s="2" t="s">
        <v>40</v>
      </c>
      <c r="Z18" s="2">
        <v>6.3</v>
      </c>
    </row>
    <row r="19" spans="1:26" x14ac:dyDescent="0.35">
      <c r="A19" s="1" t="s">
        <v>3</v>
      </c>
      <c r="B19" s="2">
        <f t="shared" si="2"/>
        <v>39.5</v>
      </c>
      <c r="C19" s="2">
        <v>2</v>
      </c>
      <c r="D19" s="3">
        <f t="shared" si="0"/>
        <v>35.5</v>
      </c>
      <c r="E19" s="3">
        <v>7</v>
      </c>
      <c r="F19" s="2">
        <f t="shared" si="3"/>
        <v>39.5</v>
      </c>
      <c r="G19" s="2">
        <v>6</v>
      </c>
      <c r="H19" s="2">
        <f t="shared" si="6"/>
        <v>37.5</v>
      </c>
      <c r="I19" s="2">
        <v>7</v>
      </c>
      <c r="J19" s="2">
        <f t="shared" si="4"/>
        <v>38.5</v>
      </c>
      <c r="K19" s="2">
        <v>4</v>
      </c>
      <c r="L19" s="2">
        <f t="shared" si="5"/>
        <v>35.5</v>
      </c>
      <c r="M19" s="2">
        <v>7</v>
      </c>
      <c r="N19" s="18">
        <f t="shared" si="1"/>
        <v>33</v>
      </c>
      <c r="P19" s="1" t="s">
        <v>34</v>
      </c>
      <c r="Q19" s="2">
        <v>2</v>
      </c>
      <c r="T19" s="1" t="s">
        <v>3</v>
      </c>
      <c r="U19" s="2" t="s">
        <v>40</v>
      </c>
      <c r="V19" s="3">
        <v>9.9</v>
      </c>
      <c r="W19" s="21">
        <v>8.5</v>
      </c>
      <c r="X19" s="3" t="s">
        <v>40</v>
      </c>
      <c r="Y19" s="2" t="s">
        <v>40</v>
      </c>
      <c r="Z19" s="2" t="s">
        <v>40</v>
      </c>
    </row>
    <row r="20" spans="1:26" x14ac:dyDescent="0.35">
      <c r="A20" s="1" t="s">
        <v>4</v>
      </c>
      <c r="B20" s="2">
        <f t="shared" si="2"/>
        <v>38</v>
      </c>
      <c r="C20" s="2">
        <v>3.5</v>
      </c>
      <c r="D20" s="3">
        <f t="shared" si="0"/>
        <v>40</v>
      </c>
      <c r="E20" s="3">
        <v>3</v>
      </c>
      <c r="F20" s="2">
        <f t="shared" si="3"/>
        <v>46</v>
      </c>
      <c r="G20" s="2">
        <v>3</v>
      </c>
      <c r="H20" s="2">
        <f t="shared" si="6"/>
        <v>43</v>
      </c>
      <c r="I20" s="2">
        <v>4</v>
      </c>
      <c r="J20" s="2">
        <f t="shared" si="4"/>
        <v>34</v>
      </c>
      <c r="K20" s="2">
        <v>8</v>
      </c>
      <c r="L20" s="2">
        <f t="shared" si="5"/>
        <v>34</v>
      </c>
      <c r="M20" s="2">
        <v>8</v>
      </c>
      <c r="N20" s="18">
        <f t="shared" si="1"/>
        <v>29.5</v>
      </c>
      <c r="P20" s="1" t="s">
        <v>35</v>
      </c>
      <c r="Q20" s="2">
        <v>1</v>
      </c>
      <c r="T20" s="1" t="s">
        <v>4</v>
      </c>
      <c r="U20" s="2">
        <v>10.199999999999999</v>
      </c>
      <c r="V20" s="2" t="s">
        <v>40</v>
      </c>
      <c r="W20" s="3">
        <v>11.5</v>
      </c>
      <c r="X20" s="3">
        <v>14.8</v>
      </c>
      <c r="Y20" s="10">
        <v>2.9</v>
      </c>
      <c r="Z20" s="2" t="s">
        <v>40</v>
      </c>
    </row>
    <row r="21" spans="1:26" x14ac:dyDescent="0.35">
      <c r="A21" s="1" t="s">
        <v>7</v>
      </c>
      <c r="B21" s="2">
        <f>M33</f>
        <v>36</v>
      </c>
      <c r="C21" s="2">
        <v>7</v>
      </c>
      <c r="D21" s="3">
        <f t="shared" si="0"/>
        <v>36</v>
      </c>
      <c r="E21" s="3">
        <v>6</v>
      </c>
      <c r="F21" s="2">
        <f t="shared" si="3"/>
        <v>-4</v>
      </c>
      <c r="G21" s="2">
        <v>1</v>
      </c>
      <c r="H21" s="2">
        <f t="shared" si="6"/>
        <v>-4</v>
      </c>
      <c r="I21" s="2">
        <v>1</v>
      </c>
      <c r="J21" s="2">
        <f t="shared" si="4"/>
        <v>-4</v>
      </c>
      <c r="K21" s="2">
        <v>1</v>
      </c>
      <c r="L21" s="2">
        <f t="shared" si="5"/>
        <v>-4</v>
      </c>
      <c r="M21" s="2">
        <v>1</v>
      </c>
      <c r="N21" s="18">
        <f t="shared" si="1"/>
        <v>17</v>
      </c>
      <c r="T21" s="1" t="s">
        <v>7</v>
      </c>
      <c r="U21" s="2">
        <v>17.399999999999999</v>
      </c>
      <c r="V21" s="10">
        <v>1.7</v>
      </c>
      <c r="W21" s="3" t="s">
        <v>40</v>
      </c>
      <c r="X21" s="3" t="s">
        <v>40</v>
      </c>
      <c r="Y21" s="2" t="s">
        <v>40</v>
      </c>
      <c r="Z21" s="2">
        <v>9.3000000000000007</v>
      </c>
    </row>
    <row r="23" spans="1:26" x14ac:dyDescent="0.35">
      <c r="A23" s="1" t="s">
        <v>97</v>
      </c>
      <c r="B23" s="1">
        <v>1</v>
      </c>
      <c r="C23" s="1">
        <v>2</v>
      </c>
      <c r="D23" s="1">
        <v>3</v>
      </c>
      <c r="E23" s="1">
        <v>4</v>
      </c>
      <c r="F23" s="1">
        <v>5</v>
      </c>
      <c r="G23" s="11">
        <v>6</v>
      </c>
      <c r="H23" s="1">
        <v>7</v>
      </c>
      <c r="I23" s="14">
        <v>8</v>
      </c>
      <c r="J23" s="9">
        <v>9</v>
      </c>
      <c r="K23" s="1" t="s">
        <v>9</v>
      </c>
      <c r="L23" s="1" t="s">
        <v>14</v>
      </c>
      <c r="M23" s="1" t="s">
        <v>20</v>
      </c>
      <c r="N23" s="1">
        <v>10</v>
      </c>
      <c r="O23" s="1">
        <v>11</v>
      </c>
      <c r="P23" s="11">
        <v>12</v>
      </c>
      <c r="Q23" s="1">
        <v>13</v>
      </c>
      <c r="R23" s="14">
        <v>14</v>
      </c>
      <c r="S23" s="1">
        <v>15</v>
      </c>
      <c r="T23" s="9">
        <v>16</v>
      </c>
      <c r="U23" s="1">
        <v>17</v>
      </c>
      <c r="V23" s="1">
        <v>18</v>
      </c>
      <c r="W23" s="1" t="s">
        <v>9</v>
      </c>
      <c r="X23" s="1" t="s">
        <v>14</v>
      </c>
      <c r="Y23" s="1" t="s">
        <v>20</v>
      </c>
    </row>
    <row r="24" spans="1:26" outlineLevel="1" x14ac:dyDescent="0.35">
      <c r="A24" s="1" t="s">
        <v>15</v>
      </c>
      <c r="B24" s="1">
        <v>5</v>
      </c>
      <c r="C24" s="1">
        <v>4</v>
      </c>
      <c r="D24" s="1">
        <v>4</v>
      </c>
      <c r="E24" s="1">
        <v>3</v>
      </c>
      <c r="F24" s="28">
        <v>4</v>
      </c>
      <c r="G24" s="1">
        <v>3</v>
      </c>
      <c r="H24" s="1">
        <v>5</v>
      </c>
      <c r="I24" s="14">
        <v>5</v>
      </c>
      <c r="J24" s="9">
        <v>3</v>
      </c>
      <c r="K24" s="1">
        <f>SUM(B24:J24)</f>
        <v>36</v>
      </c>
      <c r="L24" s="7"/>
      <c r="M24" s="7"/>
      <c r="N24" s="14">
        <v>5</v>
      </c>
      <c r="O24" s="1">
        <v>4</v>
      </c>
      <c r="P24" s="1">
        <v>3</v>
      </c>
      <c r="Q24" s="1">
        <v>4</v>
      </c>
      <c r="R24" s="14">
        <v>3</v>
      </c>
      <c r="S24" s="11">
        <v>5</v>
      </c>
      <c r="T24" s="9">
        <v>3</v>
      </c>
      <c r="U24" s="14">
        <v>4</v>
      </c>
      <c r="V24" s="1">
        <v>5</v>
      </c>
      <c r="W24" s="1">
        <f>SUM(N24:V24)</f>
        <v>36</v>
      </c>
      <c r="X24" s="8"/>
      <c r="Y24" s="7"/>
    </row>
    <row r="25" spans="1:26" outlineLevel="1" x14ac:dyDescent="0.35">
      <c r="A25" s="1" t="s">
        <v>1</v>
      </c>
      <c r="B25" s="5"/>
      <c r="C25" s="5"/>
      <c r="D25" s="5"/>
      <c r="E25" s="5"/>
      <c r="F25" s="5"/>
      <c r="G25" s="5"/>
      <c r="H25" s="5"/>
      <c r="I25" s="15"/>
      <c r="J25" s="5"/>
      <c r="K25" s="5"/>
      <c r="L25" s="5"/>
      <c r="M25" s="5"/>
      <c r="N25" s="15"/>
      <c r="O25" s="5"/>
      <c r="P25" s="5"/>
      <c r="Q25" s="5"/>
      <c r="R25" s="15"/>
      <c r="S25" s="12"/>
      <c r="T25" s="5"/>
      <c r="U25" s="15"/>
      <c r="V25" s="5"/>
      <c r="W25" s="5"/>
      <c r="X25" s="5"/>
      <c r="Y25" s="5"/>
    </row>
    <row r="26" spans="1:26" outlineLevel="1" x14ac:dyDescent="0.35">
      <c r="A26" s="1" t="s">
        <v>5</v>
      </c>
      <c r="B26" s="2">
        <v>7</v>
      </c>
      <c r="C26" s="2">
        <v>5</v>
      </c>
      <c r="D26" s="2">
        <v>7</v>
      </c>
      <c r="E26" s="2">
        <v>4</v>
      </c>
      <c r="F26" s="29">
        <v>5</v>
      </c>
      <c r="G26" s="2">
        <v>7</v>
      </c>
      <c r="H26" s="2">
        <v>10</v>
      </c>
      <c r="I26" s="16">
        <v>7</v>
      </c>
      <c r="J26" s="10">
        <v>4</v>
      </c>
      <c r="K26" s="1">
        <f t="shared" ref="K26:K33" si="7">SUM(B26:J26)</f>
        <v>56</v>
      </c>
      <c r="L26" s="1">
        <v>19</v>
      </c>
      <c r="M26" s="1">
        <f t="shared" ref="M26:M33" si="8">K26-L26</f>
        <v>37</v>
      </c>
      <c r="N26" s="16">
        <v>7</v>
      </c>
      <c r="O26" s="2">
        <v>4</v>
      </c>
      <c r="P26" s="2">
        <v>4</v>
      </c>
      <c r="Q26" s="2">
        <v>5</v>
      </c>
      <c r="R26" s="16">
        <v>4</v>
      </c>
      <c r="S26" s="13">
        <v>7</v>
      </c>
      <c r="T26" s="10">
        <v>6</v>
      </c>
      <c r="U26" s="16">
        <v>11</v>
      </c>
      <c r="V26" s="2">
        <v>10</v>
      </c>
      <c r="W26" s="1">
        <f t="shared" ref="W26:W33" si="9">SUM(N26:V26)</f>
        <v>58</v>
      </c>
      <c r="X26" s="1">
        <v>19</v>
      </c>
      <c r="Y26" s="1">
        <f>W26-X26</f>
        <v>39</v>
      </c>
    </row>
    <row r="27" spans="1:26" x14ac:dyDescent="0.35">
      <c r="A27" s="1" t="s">
        <v>8</v>
      </c>
      <c r="B27" s="2">
        <v>10</v>
      </c>
      <c r="C27" s="2">
        <v>6</v>
      </c>
      <c r="D27" s="2">
        <v>7</v>
      </c>
      <c r="E27" s="2">
        <v>5</v>
      </c>
      <c r="F27" s="29">
        <v>6</v>
      </c>
      <c r="G27" s="2">
        <v>5</v>
      </c>
      <c r="H27" s="2">
        <v>15</v>
      </c>
      <c r="I27" s="16">
        <v>6</v>
      </c>
      <c r="J27" s="10">
        <v>3</v>
      </c>
      <c r="K27" s="1">
        <f t="shared" si="7"/>
        <v>63</v>
      </c>
      <c r="L27" s="1">
        <v>13.5</v>
      </c>
      <c r="M27" s="1">
        <f t="shared" si="8"/>
        <v>49.5</v>
      </c>
      <c r="N27" s="16">
        <v>8</v>
      </c>
      <c r="O27" s="2">
        <v>6</v>
      </c>
      <c r="P27" s="2">
        <v>3</v>
      </c>
      <c r="Q27" s="2">
        <v>5</v>
      </c>
      <c r="R27" s="16">
        <v>4</v>
      </c>
      <c r="S27" s="13">
        <v>11</v>
      </c>
      <c r="T27" s="10">
        <v>4</v>
      </c>
      <c r="U27" s="16">
        <v>7</v>
      </c>
      <c r="V27" s="2">
        <v>6</v>
      </c>
      <c r="W27" s="1">
        <f t="shared" si="9"/>
        <v>54</v>
      </c>
      <c r="X27" s="1">
        <v>13.5</v>
      </c>
      <c r="Y27" s="1">
        <f t="shared" ref="Y27:Y33" si="10">W27-X27</f>
        <v>40.5</v>
      </c>
    </row>
    <row r="28" spans="1:26" x14ac:dyDescent="0.35">
      <c r="A28" s="1" t="s">
        <v>0</v>
      </c>
      <c r="B28" s="2">
        <v>6</v>
      </c>
      <c r="C28" s="2">
        <v>4</v>
      </c>
      <c r="D28" s="2">
        <v>9</v>
      </c>
      <c r="E28" s="2">
        <v>3</v>
      </c>
      <c r="F28" s="29">
        <v>4</v>
      </c>
      <c r="G28" s="2">
        <v>3</v>
      </c>
      <c r="H28" s="2">
        <v>7</v>
      </c>
      <c r="I28" s="16">
        <v>6</v>
      </c>
      <c r="J28" s="10">
        <v>3</v>
      </c>
      <c r="K28" s="1">
        <f t="shared" si="7"/>
        <v>45</v>
      </c>
      <c r="L28" s="1">
        <v>13</v>
      </c>
      <c r="M28" s="1">
        <f t="shared" si="8"/>
        <v>32</v>
      </c>
      <c r="N28" s="16">
        <v>8</v>
      </c>
      <c r="O28" s="2">
        <v>5</v>
      </c>
      <c r="P28" s="2">
        <v>6</v>
      </c>
      <c r="Q28" s="2">
        <v>5</v>
      </c>
      <c r="R28" s="16">
        <v>5</v>
      </c>
      <c r="S28" s="13">
        <v>9</v>
      </c>
      <c r="T28" s="10">
        <v>7</v>
      </c>
      <c r="U28" s="16">
        <v>9</v>
      </c>
      <c r="V28" s="2">
        <v>9</v>
      </c>
      <c r="W28" s="1">
        <f t="shared" si="9"/>
        <v>63</v>
      </c>
      <c r="X28" s="1">
        <v>13</v>
      </c>
      <c r="Y28" s="1">
        <f t="shared" si="10"/>
        <v>50</v>
      </c>
    </row>
    <row r="29" spans="1:26" x14ac:dyDescent="0.35">
      <c r="A29" s="1" t="s">
        <v>2</v>
      </c>
      <c r="B29" s="2">
        <v>5</v>
      </c>
      <c r="C29" s="2">
        <v>5</v>
      </c>
      <c r="D29" s="2">
        <v>7</v>
      </c>
      <c r="E29" s="2">
        <v>3</v>
      </c>
      <c r="F29" s="29">
        <v>4</v>
      </c>
      <c r="G29" s="2">
        <v>4</v>
      </c>
      <c r="H29" s="2">
        <v>6</v>
      </c>
      <c r="I29" s="16">
        <v>6</v>
      </c>
      <c r="J29" s="10">
        <v>3</v>
      </c>
      <c r="K29" s="1">
        <f t="shared" si="7"/>
        <v>43</v>
      </c>
      <c r="L29" s="1">
        <v>6.5</v>
      </c>
      <c r="M29" s="1">
        <f t="shared" si="8"/>
        <v>36.5</v>
      </c>
      <c r="N29" s="16">
        <v>7</v>
      </c>
      <c r="O29" s="2">
        <v>5</v>
      </c>
      <c r="P29" s="2">
        <v>3</v>
      </c>
      <c r="Q29" s="2">
        <v>4</v>
      </c>
      <c r="R29" s="16">
        <v>3</v>
      </c>
      <c r="S29" s="13">
        <v>6</v>
      </c>
      <c r="T29" s="10">
        <v>3</v>
      </c>
      <c r="U29" s="16">
        <v>5</v>
      </c>
      <c r="V29" s="2">
        <v>5</v>
      </c>
      <c r="W29" s="1">
        <f t="shared" si="9"/>
        <v>41</v>
      </c>
      <c r="X29" s="1">
        <v>6.5</v>
      </c>
      <c r="Y29" s="1">
        <f t="shared" si="10"/>
        <v>34.5</v>
      </c>
    </row>
    <row r="30" spans="1:26" x14ac:dyDescent="0.35">
      <c r="A30" s="1" t="s">
        <v>103</v>
      </c>
      <c r="B30" s="2">
        <v>7</v>
      </c>
      <c r="C30" s="2">
        <v>5</v>
      </c>
      <c r="D30" s="2">
        <v>6</v>
      </c>
      <c r="E30" s="2">
        <v>3</v>
      </c>
      <c r="F30" s="29">
        <v>5</v>
      </c>
      <c r="G30" s="2">
        <v>3</v>
      </c>
      <c r="H30" s="2">
        <v>5</v>
      </c>
      <c r="I30" s="16">
        <v>7</v>
      </c>
      <c r="J30" s="10">
        <v>3</v>
      </c>
      <c r="K30" s="1">
        <f t="shared" si="7"/>
        <v>44</v>
      </c>
      <c r="L30" s="1">
        <v>6</v>
      </c>
      <c r="M30" s="1">
        <f t="shared" si="8"/>
        <v>38</v>
      </c>
      <c r="N30" s="16">
        <v>8</v>
      </c>
      <c r="O30" s="2">
        <v>5</v>
      </c>
      <c r="P30" s="2">
        <v>3</v>
      </c>
      <c r="Q30" s="2">
        <v>5</v>
      </c>
      <c r="R30" s="16">
        <v>3</v>
      </c>
      <c r="S30" s="13">
        <v>5</v>
      </c>
      <c r="T30" s="10">
        <v>3</v>
      </c>
      <c r="U30" s="16">
        <v>4</v>
      </c>
      <c r="V30" s="2">
        <v>7</v>
      </c>
      <c r="W30" s="1">
        <f t="shared" si="9"/>
        <v>43</v>
      </c>
      <c r="X30" s="1">
        <v>6</v>
      </c>
      <c r="Y30" s="1">
        <f t="shared" si="10"/>
        <v>37</v>
      </c>
    </row>
    <row r="31" spans="1:26" x14ac:dyDescent="0.35">
      <c r="A31" s="1" t="s">
        <v>3</v>
      </c>
      <c r="B31" s="2">
        <v>7</v>
      </c>
      <c r="C31" s="2">
        <v>6</v>
      </c>
      <c r="D31" s="2">
        <v>5</v>
      </c>
      <c r="E31" s="2">
        <v>3</v>
      </c>
      <c r="F31" s="29">
        <v>5</v>
      </c>
      <c r="G31" s="2">
        <v>3</v>
      </c>
      <c r="H31" s="2">
        <v>6</v>
      </c>
      <c r="I31" s="16">
        <v>6</v>
      </c>
      <c r="J31" s="10">
        <v>4</v>
      </c>
      <c r="K31" s="1">
        <f t="shared" si="7"/>
        <v>45</v>
      </c>
      <c r="L31" s="1">
        <v>5.5</v>
      </c>
      <c r="M31" s="1">
        <f t="shared" si="8"/>
        <v>39.5</v>
      </c>
      <c r="N31" s="16">
        <v>6</v>
      </c>
      <c r="O31" s="2">
        <v>4</v>
      </c>
      <c r="P31" s="2">
        <v>4</v>
      </c>
      <c r="Q31" s="2">
        <v>3</v>
      </c>
      <c r="R31" s="16">
        <v>4</v>
      </c>
      <c r="S31" s="13">
        <v>5</v>
      </c>
      <c r="T31" s="10">
        <v>4</v>
      </c>
      <c r="U31" s="16">
        <v>5</v>
      </c>
      <c r="V31" s="2">
        <v>6</v>
      </c>
      <c r="W31" s="1">
        <f t="shared" si="9"/>
        <v>41</v>
      </c>
      <c r="X31" s="1">
        <v>5.5</v>
      </c>
      <c r="Y31" s="1">
        <f t="shared" si="10"/>
        <v>35.5</v>
      </c>
    </row>
    <row r="32" spans="1:26" x14ac:dyDescent="0.35">
      <c r="A32" s="1" t="s">
        <v>4</v>
      </c>
      <c r="B32" s="2">
        <v>8</v>
      </c>
      <c r="C32" s="2">
        <v>5</v>
      </c>
      <c r="D32" s="2">
        <v>5</v>
      </c>
      <c r="E32" s="2">
        <v>4</v>
      </c>
      <c r="F32" s="29">
        <v>4</v>
      </c>
      <c r="G32" s="2">
        <v>3</v>
      </c>
      <c r="H32" s="2">
        <v>6</v>
      </c>
      <c r="I32" s="16">
        <v>5</v>
      </c>
      <c r="J32" s="10">
        <v>3</v>
      </c>
      <c r="K32" s="1">
        <f t="shared" si="7"/>
        <v>43</v>
      </c>
      <c r="L32" s="1">
        <v>5</v>
      </c>
      <c r="M32" s="1">
        <f t="shared" si="8"/>
        <v>38</v>
      </c>
      <c r="N32" s="16">
        <v>5</v>
      </c>
      <c r="O32" s="2">
        <v>6</v>
      </c>
      <c r="P32" s="2">
        <v>5</v>
      </c>
      <c r="Q32" s="2">
        <v>4</v>
      </c>
      <c r="R32" s="16">
        <v>4</v>
      </c>
      <c r="S32" s="13">
        <v>5</v>
      </c>
      <c r="T32" s="10">
        <v>4</v>
      </c>
      <c r="U32" s="16">
        <v>4</v>
      </c>
      <c r="V32" s="2">
        <v>8</v>
      </c>
      <c r="W32" s="1">
        <f t="shared" si="9"/>
        <v>45</v>
      </c>
      <c r="X32" s="1">
        <v>5</v>
      </c>
      <c r="Y32" s="1">
        <f t="shared" si="10"/>
        <v>40</v>
      </c>
    </row>
    <row r="33" spans="1:25" x14ac:dyDescent="0.35">
      <c r="A33" s="1" t="s">
        <v>7</v>
      </c>
      <c r="B33" s="2">
        <v>5</v>
      </c>
      <c r="C33" s="2">
        <v>6</v>
      </c>
      <c r="D33" s="2">
        <v>5</v>
      </c>
      <c r="E33" s="2">
        <v>2</v>
      </c>
      <c r="F33" s="29">
        <v>4</v>
      </c>
      <c r="G33" s="2">
        <v>4</v>
      </c>
      <c r="H33" s="2">
        <v>6</v>
      </c>
      <c r="I33" s="16">
        <v>5</v>
      </c>
      <c r="J33" s="10">
        <v>3</v>
      </c>
      <c r="K33" s="1">
        <f t="shared" si="7"/>
        <v>40</v>
      </c>
      <c r="L33" s="1">
        <v>4</v>
      </c>
      <c r="M33" s="1">
        <f t="shared" si="8"/>
        <v>36</v>
      </c>
      <c r="N33" s="16">
        <v>5</v>
      </c>
      <c r="O33" s="2">
        <v>4</v>
      </c>
      <c r="P33" s="2">
        <v>4</v>
      </c>
      <c r="Q33" s="2">
        <v>4</v>
      </c>
      <c r="R33" s="16">
        <v>4</v>
      </c>
      <c r="S33" s="13">
        <v>6</v>
      </c>
      <c r="T33" s="10">
        <v>2</v>
      </c>
      <c r="U33" s="16">
        <v>5</v>
      </c>
      <c r="V33" s="2">
        <v>6</v>
      </c>
      <c r="W33" s="1">
        <f t="shared" si="9"/>
        <v>40</v>
      </c>
      <c r="X33" s="1">
        <v>4</v>
      </c>
      <c r="Y33" s="1">
        <f t="shared" si="10"/>
        <v>36</v>
      </c>
    </row>
    <row r="34" spans="1:25" x14ac:dyDescent="0.35">
      <c r="C34" s="22"/>
      <c r="E34" s="22"/>
      <c r="F34" s="30"/>
      <c r="G34" s="1" t="s">
        <v>99</v>
      </c>
      <c r="J34" s="9" t="s">
        <v>98</v>
      </c>
      <c r="P34" s="1" t="s">
        <v>100</v>
      </c>
      <c r="T34" s="9" t="s">
        <v>101</v>
      </c>
    </row>
    <row r="36" spans="1:25" x14ac:dyDescent="0.35">
      <c r="A36" s="1" t="s">
        <v>109</v>
      </c>
      <c r="B36" s="1">
        <v>1</v>
      </c>
      <c r="C36" s="1">
        <v>2</v>
      </c>
      <c r="D36" s="9">
        <v>3</v>
      </c>
      <c r="E36" s="1">
        <v>4</v>
      </c>
      <c r="F36" s="1">
        <v>5</v>
      </c>
      <c r="G36" s="11">
        <v>6</v>
      </c>
      <c r="H36" s="1">
        <v>7</v>
      </c>
      <c r="I36" s="14">
        <v>8</v>
      </c>
      <c r="J36" s="1">
        <v>9</v>
      </c>
      <c r="K36" s="1" t="s">
        <v>9</v>
      </c>
      <c r="L36" s="1" t="s">
        <v>14</v>
      </c>
      <c r="M36" s="1" t="s">
        <v>20</v>
      </c>
      <c r="N36" s="1">
        <v>10</v>
      </c>
      <c r="O36" s="1">
        <v>11</v>
      </c>
      <c r="P36" s="11">
        <v>12</v>
      </c>
      <c r="Q36" s="1">
        <v>13</v>
      </c>
      <c r="R36" s="9">
        <v>14</v>
      </c>
      <c r="S36" s="11">
        <v>15</v>
      </c>
      <c r="T36" s="1">
        <v>16</v>
      </c>
      <c r="U36" s="14">
        <v>17</v>
      </c>
      <c r="V36" s="1">
        <v>18</v>
      </c>
      <c r="W36" s="1" t="s">
        <v>9</v>
      </c>
      <c r="X36" s="1" t="s">
        <v>14</v>
      </c>
      <c r="Y36" s="1" t="s">
        <v>20</v>
      </c>
    </row>
    <row r="37" spans="1:25" x14ac:dyDescent="0.35">
      <c r="A37" s="1" t="s">
        <v>15</v>
      </c>
      <c r="B37" s="1">
        <v>4</v>
      </c>
      <c r="C37" s="1">
        <v>5</v>
      </c>
      <c r="D37" s="9">
        <v>3</v>
      </c>
      <c r="E37" s="1">
        <v>4</v>
      </c>
      <c r="F37" s="1">
        <v>3</v>
      </c>
      <c r="G37" s="11">
        <v>4</v>
      </c>
      <c r="H37" s="1">
        <v>4</v>
      </c>
      <c r="I37" s="14">
        <v>5</v>
      </c>
      <c r="J37" s="1">
        <v>4</v>
      </c>
      <c r="K37" s="1">
        <f>SUM(B37:J37)</f>
        <v>36</v>
      </c>
      <c r="L37" s="7"/>
      <c r="M37" s="7"/>
      <c r="N37" s="1">
        <v>3</v>
      </c>
      <c r="O37" s="1">
        <v>4</v>
      </c>
      <c r="P37" s="11">
        <v>5</v>
      </c>
      <c r="Q37" s="1">
        <v>4</v>
      </c>
      <c r="R37" s="9">
        <v>3</v>
      </c>
      <c r="S37" s="11">
        <v>4</v>
      </c>
      <c r="T37" s="1">
        <v>5</v>
      </c>
      <c r="U37" s="14">
        <v>4</v>
      </c>
      <c r="V37" s="1">
        <v>4</v>
      </c>
      <c r="W37" s="1">
        <f>SUM(N37:V37)</f>
        <v>36</v>
      </c>
      <c r="X37" s="8"/>
      <c r="Y37" s="7"/>
    </row>
    <row r="38" spans="1:25" x14ac:dyDescent="0.35">
      <c r="A38" s="1" t="s">
        <v>1</v>
      </c>
      <c r="B38" s="5"/>
      <c r="C38" s="5"/>
      <c r="D38" s="5"/>
      <c r="E38" s="5"/>
      <c r="F38" s="5"/>
      <c r="G38" s="12"/>
      <c r="H38" s="5"/>
      <c r="I38" s="15"/>
      <c r="J38" s="5"/>
      <c r="K38" s="5"/>
      <c r="L38" s="5"/>
      <c r="M38" s="5"/>
      <c r="N38" s="5"/>
      <c r="O38" s="5"/>
      <c r="P38" s="12"/>
      <c r="Q38" s="5"/>
      <c r="R38" s="5"/>
      <c r="S38" s="12"/>
      <c r="T38" s="5"/>
      <c r="U38" s="15"/>
      <c r="V38" s="5"/>
      <c r="W38" s="5"/>
      <c r="X38" s="5"/>
      <c r="Y38" s="5"/>
    </row>
    <row r="39" spans="1:25" x14ac:dyDescent="0.35">
      <c r="A39" s="1" t="s">
        <v>5</v>
      </c>
      <c r="B39" s="2">
        <v>6</v>
      </c>
      <c r="C39" s="2">
        <v>8</v>
      </c>
      <c r="D39" s="10">
        <v>3</v>
      </c>
      <c r="E39" s="2">
        <v>8</v>
      </c>
      <c r="F39" s="2">
        <v>4</v>
      </c>
      <c r="G39" s="13">
        <v>7</v>
      </c>
      <c r="H39" s="2">
        <v>8</v>
      </c>
      <c r="I39" s="16">
        <v>9</v>
      </c>
      <c r="J39" s="2">
        <v>6</v>
      </c>
      <c r="K39" s="1">
        <f t="shared" ref="K39:K46" si="11">SUM(B39:J39)</f>
        <v>59</v>
      </c>
      <c r="L39" s="1">
        <v>19</v>
      </c>
      <c r="M39" s="1">
        <f>K39-L39</f>
        <v>40</v>
      </c>
      <c r="N39" s="2">
        <v>4</v>
      </c>
      <c r="O39" s="2">
        <v>6</v>
      </c>
      <c r="P39" s="13">
        <v>7</v>
      </c>
      <c r="Q39" s="2">
        <v>8</v>
      </c>
      <c r="R39" s="10">
        <v>7</v>
      </c>
      <c r="S39" s="13">
        <v>8</v>
      </c>
      <c r="T39" s="2">
        <v>9</v>
      </c>
      <c r="U39" s="16">
        <v>6</v>
      </c>
      <c r="V39" s="2">
        <v>9</v>
      </c>
      <c r="W39" s="1">
        <f t="shared" ref="W39:W46" si="12">SUM(N39:V39)</f>
        <v>64</v>
      </c>
      <c r="X39" s="1">
        <v>19</v>
      </c>
      <c r="Y39" s="1">
        <f>W39-X39</f>
        <v>45</v>
      </c>
    </row>
    <row r="40" spans="1:25" x14ac:dyDescent="0.35">
      <c r="A40" s="1" t="s">
        <v>8</v>
      </c>
      <c r="B40" s="2">
        <v>7</v>
      </c>
      <c r="C40" s="2">
        <v>15</v>
      </c>
      <c r="D40" s="10">
        <v>4</v>
      </c>
      <c r="E40" s="2">
        <v>8</v>
      </c>
      <c r="F40" s="2">
        <v>5</v>
      </c>
      <c r="G40" s="13">
        <v>4</v>
      </c>
      <c r="H40" s="2">
        <v>5</v>
      </c>
      <c r="I40" s="16">
        <v>8</v>
      </c>
      <c r="J40" s="2">
        <v>5</v>
      </c>
      <c r="K40" s="1">
        <f t="shared" si="11"/>
        <v>61</v>
      </c>
      <c r="L40" s="1">
        <v>13.5</v>
      </c>
      <c r="M40" s="1">
        <f t="shared" ref="M40:M46" si="13">K40-L40</f>
        <v>47.5</v>
      </c>
      <c r="N40" s="2">
        <v>3</v>
      </c>
      <c r="O40" s="2">
        <v>8</v>
      </c>
      <c r="P40" s="13">
        <v>9</v>
      </c>
      <c r="Q40" s="2">
        <v>7</v>
      </c>
      <c r="R40" s="10">
        <v>5</v>
      </c>
      <c r="S40" s="13">
        <v>4</v>
      </c>
      <c r="T40" s="2">
        <v>8</v>
      </c>
      <c r="U40" s="16">
        <v>7</v>
      </c>
      <c r="V40" s="2">
        <v>5</v>
      </c>
      <c r="W40" s="1">
        <f t="shared" si="12"/>
        <v>56</v>
      </c>
      <c r="X40" s="1">
        <v>13.5</v>
      </c>
      <c r="Y40" s="1">
        <f t="shared" ref="Y40:Y46" si="14">W40-X40</f>
        <v>42.5</v>
      </c>
    </row>
    <row r="41" spans="1:25" x14ac:dyDescent="0.35">
      <c r="A41" s="1" t="s">
        <v>0</v>
      </c>
      <c r="B41" s="2">
        <v>6</v>
      </c>
      <c r="C41" s="2">
        <v>7</v>
      </c>
      <c r="D41" s="10">
        <v>4</v>
      </c>
      <c r="E41" s="2">
        <v>8</v>
      </c>
      <c r="F41" s="2">
        <v>6</v>
      </c>
      <c r="G41" s="13">
        <v>6</v>
      </c>
      <c r="H41" s="2">
        <v>7</v>
      </c>
      <c r="I41" s="16">
        <v>5</v>
      </c>
      <c r="J41" s="2">
        <v>8</v>
      </c>
      <c r="K41" s="1">
        <f t="shared" si="11"/>
        <v>57</v>
      </c>
      <c r="L41" s="1">
        <v>13</v>
      </c>
      <c r="M41" s="1">
        <f t="shared" si="13"/>
        <v>44</v>
      </c>
      <c r="N41" s="2">
        <v>5</v>
      </c>
      <c r="O41" s="2">
        <v>5</v>
      </c>
      <c r="P41" s="13">
        <v>8</v>
      </c>
      <c r="Q41" s="2">
        <v>6</v>
      </c>
      <c r="R41" s="10">
        <v>6</v>
      </c>
      <c r="S41" s="13">
        <v>6</v>
      </c>
      <c r="T41" s="2">
        <v>9</v>
      </c>
      <c r="U41" s="16">
        <v>7</v>
      </c>
      <c r="V41" s="2">
        <v>10</v>
      </c>
      <c r="W41" s="1">
        <f t="shared" si="12"/>
        <v>62</v>
      </c>
      <c r="X41" s="1">
        <v>13</v>
      </c>
      <c r="Y41" s="1">
        <f t="shared" si="14"/>
        <v>49</v>
      </c>
    </row>
    <row r="42" spans="1:25" x14ac:dyDescent="0.35">
      <c r="A42" s="1" t="s">
        <v>2</v>
      </c>
      <c r="B42" s="2">
        <v>4</v>
      </c>
      <c r="C42" s="2">
        <v>4</v>
      </c>
      <c r="D42" s="10">
        <v>4</v>
      </c>
      <c r="E42" s="2">
        <v>5</v>
      </c>
      <c r="F42" s="2">
        <v>4</v>
      </c>
      <c r="G42" s="13">
        <v>4</v>
      </c>
      <c r="H42" s="2">
        <v>5</v>
      </c>
      <c r="I42" s="16">
        <v>4</v>
      </c>
      <c r="J42" s="2">
        <v>4</v>
      </c>
      <c r="K42" s="1">
        <f t="shared" si="11"/>
        <v>38</v>
      </c>
      <c r="L42" s="1">
        <v>6.5</v>
      </c>
      <c r="M42" s="1">
        <f t="shared" si="13"/>
        <v>31.5</v>
      </c>
      <c r="N42" s="2">
        <v>4</v>
      </c>
      <c r="O42" s="2">
        <v>5</v>
      </c>
      <c r="P42" s="13">
        <v>5</v>
      </c>
      <c r="Q42" s="2">
        <v>5</v>
      </c>
      <c r="R42" s="10">
        <v>4</v>
      </c>
      <c r="S42" s="13">
        <v>4</v>
      </c>
      <c r="T42" s="2">
        <v>6</v>
      </c>
      <c r="U42" s="16">
        <v>5</v>
      </c>
      <c r="V42" s="2">
        <v>4</v>
      </c>
      <c r="W42" s="1">
        <f t="shared" si="12"/>
        <v>42</v>
      </c>
      <c r="X42" s="1">
        <v>6.5</v>
      </c>
      <c r="Y42" s="1">
        <f t="shared" si="14"/>
        <v>35.5</v>
      </c>
    </row>
    <row r="43" spans="1:25" x14ac:dyDescent="0.35">
      <c r="A43" s="1" t="s">
        <v>103</v>
      </c>
      <c r="B43" s="2">
        <v>4</v>
      </c>
      <c r="C43" s="2">
        <v>7</v>
      </c>
      <c r="D43" s="10">
        <v>4</v>
      </c>
      <c r="E43" s="2">
        <v>5</v>
      </c>
      <c r="F43" s="2">
        <v>4</v>
      </c>
      <c r="G43" s="13">
        <v>6</v>
      </c>
      <c r="H43" s="2">
        <v>5</v>
      </c>
      <c r="I43" s="16">
        <v>5</v>
      </c>
      <c r="J43" s="2">
        <v>4</v>
      </c>
      <c r="K43" s="1">
        <f t="shared" si="11"/>
        <v>44</v>
      </c>
      <c r="L43" s="1">
        <v>6</v>
      </c>
      <c r="M43" s="1">
        <f t="shared" si="13"/>
        <v>38</v>
      </c>
      <c r="N43" s="2">
        <v>4</v>
      </c>
      <c r="O43" s="2">
        <v>6</v>
      </c>
      <c r="P43" s="13">
        <v>5</v>
      </c>
      <c r="Q43" s="2">
        <v>5</v>
      </c>
      <c r="R43" s="10">
        <v>4</v>
      </c>
      <c r="S43" s="13">
        <v>6</v>
      </c>
      <c r="T43" s="2">
        <v>5</v>
      </c>
      <c r="U43" s="16">
        <v>5</v>
      </c>
      <c r="V43" s="2">
        <v>5</v>
      </c>
      <c r="W43" s="1">
        <f t="shared" si="12"/>
        <v>45</v>
      </c>
      <c r="X43" s="1">
        <v>6</v>
      </c>
      <c r="Y43" s="1">
        <f t="shared" si="14"/>
        <v>39</v>
      </c>
    </row>
    <row r="44" spans="1:25" x14ac:dyDescent="0.35">
      <c r="A44" s="1" t="s">
        <v>3</v>
      </c>
      <c r="B44" s="2">
        <v>4</v>
      </c>
      <c r="C44" s="2">
        <v>8</v>
      </c>
      <c r="D44" s="10">
        <v>4</v>
      </c>
      <c r="E44" s="2">
        <v>4</v>
      </c>
      <c r="F44" s="2">
        <v>5</v>
      </c>
      <c r="G44" s="13">
        <v>5</v>
      </c>
      <c r="H44" s="2">
        <v>5</v>
      </c>
      <c r="I44" s="16">
        <v>5</v>
      </c>
      <c r="J44" s="2">
        <v>5</v>
      </c>
      <c r="K44" s="1">
        <f t="shared" si="11"/>
        <v>45</v>
      </c>
      <c r="L44" s="1">
        <v>5.5</v>
      </c>
      <c r="M44" s="1">
        <f t="shared" si="13"/>
        <v>39.5</v>
      </c>
      <c r="N44" s="2">
        <v>2</v>
      </c>
      <c r="O44" s="2">
        <v>7</v>
      </c>
      <c r="P44" s="13">
        <v>6</v>
      </c>
      <c r="Q44" s="2">
        <v>5</v>
      </c>
      <c r="R44" s="10">
        <v>4</v>
      </c>
      <c r="S44" s="13">
        <v>4</v>
      </c>
      <c r="T44" s="2">
        <v>6</v>
      </c>
      <c r="U44" s="16">
        <v>4</v>
      </c>
      <c r="V44" s="2">
        <v>5</v>
      </c>
      <c r="W44" s="1">
        <f t="shared" si="12"/>
        <v>43</v>
      </c>
      <c r="X44" s="1">
        <v>5.5</v>
      </c>
      <c r="Y44" s="1">
        <f t="shared" si="14"/>
        <v>37.5</v>
      </c>
    </row>
    <row r="45" spans="1:25" x14ac:dyDescent="0.35">
      <c r="A45" s="1" t="s">
        <v>4</v>
      </c>
      <c r="B45" s="2">
        <v>5</v>
      </c>
      <c r="C45" s="2">
        <v>8</v>
      </c>
      <c r="D45" s="10">
        <v>4</v>
      </c>
      <c r="E45" s="2">
        <v>5</v>
      </c>
      <c r="F45" s="2">
        <v>4</v>
      </c>
      <c r="G45" s="13">
        <v>9</v>
      </c>
      <c r="H45" s="2">
        <v>5</v>
      </c>
      <c r="I45" s="16">
        <v>6</v>
      </c>
      <c r="J45" s="2">
        <v>5</v>
      </c>
      <c r="K45" s="1">
        <f t="shared" si="11"/>
        <v>51</v>
      </c>
      <c r="L45" s="1">
        <v>5</v>
      </c>
      <c r="M45" s="1">
        <f t="shared" si="13"/>
        <v>46</v>
      </c>
      <c r="N45" s="2">
        <v>4</v>
      </c>
      <c r="O45" s="2">
        <v>5</v>
      </c>
      <c r="P45" s="13">
        <v>7</v>
      </c>
      <c r="Q45" s="2">
        <v>7</v>
      </c>
      <c r="R45" s="10">
        <v>4</v>
      </c>
      <c r="S45" s="13">
        <v>4</v>
      </c>
      <c r="T45" s="2">
        <v>7</v>
      </c>
      <c r="U45" s="16">
        <v>6</v>
      </c>
      <c r="V45" s="2">
        <v>4</v>
      </c>
      <c r="W45" s="1">
        <f t="shared" si="12"/>
        <v>48</v>
      </c>
      <c r="X45" s="1">
        <v>5</v>
      </c>
      <c r="Y45" s="1">
        <f t="shared" si="14"/>
        <v>43</v>
      </c>
    </row>
    <row r="46" spans="1:25" x14ac:dyDescent="0.35">
      <c r="A46" s="1" t="s">
        <v>7</v>
      </c>
      <c r="B46" s="2"/>
      <c r="C46" s="2"/>
      <c r="D46" s="10"/>
      <c r="E46" s="2"/>
      <c r="F46" s="2"/>
      <c r="G46" s="13"/>
      <c r="H46" s="2"/>
      <c r="I46" s="16"/>
      <c r="J46" s="2"/>
      <c r="K46" s="1">
        <f t="shared" si="11"/>
        <v>0</v>
      </c>
      <c r="L46" s="1">
        <v>4</v>
      </c>
      <c r="M46" s="1">
        <f t="shared" si="13"/>
        <v>-4</v>
      </c>
      <c r="N46" s="2"/>
      <c r="O46" s="2"/>
      <c r="P46" s="13"/>
      <c r="Q46" s="2"/>
      <c r="R46" s="10"/>
      <c r="S46" s="13"/>
      <c r="T46" s="2"/>
      <c r="U46" s="16"/>
      <c r="V46" s="2"/>
      <c r="W46" s="1">
        <f t="shared" si="12"/>
        <v>0</v>
      </c>
      <c r="X46" s="1">
        <v>4</v>
      </c>
      <c r="Y46" s="1">
        <f t="shared" si="14"/>
        <v>-4</v>
      </c>
    </row>
    <row r="47" spans="1:25" x14ac:dyDescent="0.35">
      <c r="D47" s="9" t="s">
        <v>68</v>
      </c>
      <c r="E47" s="22"/>
      <c r="N47" s="1" t="s">
        <v>111</v>
      </c>
      <c r="R47" s="9" t="s">
        <v>110</v>
      </c>
      <c r="T47" s="22"/>
    </row>
    <row r="49" spans="1:25" x14ac:dyDescent="0.35">
      <c r="A49" s="1" t="s">
        <v>114</v>
      </c>
      <c r="B49" s="1">
        <v>1</v>
      </c>
      <c r="C49" s="1">
        <v>2</v>
      </c>
      <c r="D49" s="9">
        <v>3</v>
      </c>
      <c r="E49" s="1">
        <v>4</v>
      </c>
      <c r="F49" s="1">
        <v>5</v>
      </c>
      <c r="G49" s="1">
        <v>6</v>
      </c>
      <c r="H49" s="1">
        <v>7</v>
      </c>
      <c r="I49" s="14">
        <v>8</v>
      </c>
      <c r="J49" s="1">
        <v>9</v>
      </c>
      <c r="K49" s="1" t="s">
        <v>9</v>
      </c>
      <c r="L49" s="1" t="s">
        <v>14</v>
      </c>
      <c r="M49" s="1" t="s">
        <v>20</v>
      </c>
      <c r="N49" s="1">
        <v>10</v>
      </c>
      <c r="O49" s="1">
        <v>11</v>
      </c>
      <c r="P49" s="1">
        <v>12</v>
      </c>
      <c r="Q49" s="1">
        <v>13</v>
      </c>
      <c r="R49" s="14">
        <v>14</v>
      </c>
      <c r="S49" s="9">
        <v>15</v>
      </c>
      <c r="T49" s="1">
        <v>16</v>
      </c>
      <c r="U49" s="1">
        <v>17</v>
      </c>
      <c r="V49" s="1">
        <v>18</v>
      </c>
      <c r="W49" s="1" t="s">
        <v>9</v>
      </c>
      <c r="X49" s="1" t="s">
        <v>14</v>
      </c>
      <c r="Y49" s="1" t="s">
        <v>20</v>
      </c>
    </row>
    <row r="50" spans="1:25" x14ac:dyDescent="0.35">
      <c r="A50" s="1" t="s">
        <v>15</v>
      </c>
      <c r="B50" s="1">
        <v>4</v>
      </c>
      <c r="C50" s="1">
        <v>5</v>
      </c>
      <c r="D50" s="9">
        <v>3</v>
      </c>
      <c r="E50" s="1">
        <v>4</v>
      </c>
      <c r="F50" s="1">
        <v>4</v>
      </c>
      <c r="G50" s="1">
        <v>3</v>
      </c>
      <c r="H50" s="1">
        <v>4</v>
      </c>
      <c r="I50" s="14">
        <v>5</v>
      </c>
      <c r="J50" s="1">
        <v>4</v>
      </c>
      <c r="K50" s="1">
        <f>SUM(B50:J50)</f>
        <v>36</v>
      </c>
      <c r="L50" s="7"/>
      <c r="M50" s="7"/>
      <c r="N50" s="1">
        <v>5</v>
      </c>
      <c r="O50" s="1">
        <v>4</v>
      </c>
      <c r="P50" s="1">
        <v>4</v>
      </c>
      <c r="Q50" s="1">
        <v>4</v>
      </c>
      <c r="R50" s="14">
        <v>5</v>
      </c>
      <c r="S50" s="9">
        <v>3</v>
      </c>
      <c r="T50" s="1">
        <v>4</v>
      </c>
      <c r="U50" s="1">
        <v>3</v>
      </c>
      <c r="V50" s="1">
        <v>4</v>
      </c>
      <c r="W50" s="1">
        <f>SUM(N50:V50)</f>
        <v>36</v>
      </c>
      <c r="X50" s="8"/>
      <c r="Y50" s="7"/>
    </row>
    <row r="51" spans="1:25" x14ac:dyDescent="0.35">
      <c r="A51" s="1" t="s">
        <v>1</v>
      </c>
      <c r="B51" s="5"/>
      <c r="C51" s="5"/>
      <c r="D51" s="5"/>
      <c r="E51" s="5"/>
      <c r="F51" s="5"/>
      <c r="G51" s="5"/>
      <c r="H51" s="5"/>
      <c r="I51" s="15"/>
      <c r="J51" s="5"/>
      <c r="K51" s="5"/>
      <c r="L51" s="5"/>
      <c r="M51" s="5"/>
      <c r="N51" s="5"/>
      <c r="O51" s="5"/>
      <c r="P51" s="5"/>
      <c r="Q51" s="5"/>
      <c r="R51" s="15"/>
      <c r="S51" s="5"/>
      <c r="T51" s="5"/>
      <c r="U51" s="5"/>
      <c r="V51" s="5"/>
      <c r="W51" s="5"/>
      <c r="X51" s="5"/>
      <c r="Y51" s="5"/>
    </row>
    <row r="52" spans="1:25" x14ac:dyDescent="0.35">
      <c r="A52" s="1" t="s">
        <v>5</v>
      </c>
      <c r="B52" s="2">
        <v>7</v>
      </c>
      <c r="C52" s="2">
        <v>8</v>
      </c>
      <c r="D52" s="10">
        <v>4</v>
      </c>
      <c r="E52" s="2">
        <v>6</v>
      </c>
      <c r="F52" s="2">
        <v>6</v>
      </c>
      <c r="G52" s="2">
        <v>4</v>
      </c>
      <c r="H52" s="2">
        <v>5</v>
      </c>
      <c r="I52" s="16">
        <v>8</v>
      </c>
      <c r="J52" s="2">
        <v>6</v>
      </c>
      <c r="K52" s="1">
        <f>SUM(B52:J52)</f>
        <v>54</v>
      </c>
      <c r="L52" s="1">
        <v>19</v>
      </c>
      <c r="M52" s="1">
        <f>K52-L52</f>
        <v>35</v>
      </c>
      <c r="N52" s="2">
        <v>12</v>
      </c>
      <c r="O52" s="2">
        <v>6</v>
      </c>
      <c r="P52" s="2">
        <v>6</v>
      </c>
      <c r="Q52" s="2">
        <v>7</v>
      </c>
      <c r="R52" s="16">
        <v>6</v>
      </c>
      <c r="S52" s="10">
        <v>2</v>
      </c>
      <c r="T52" s="2">
        <v>5</v>
      </c>
      <c r="U52" s="2">
        <v>6</v>
      </c>
      <c r="V52" s="2">
        <v>7</v>
      </c>
      <c r="W52" s="1">
        <f t="shared" ref="W52:W59" si="15">SUM(N52:V52)</f>
        <v>57</v>
      </c>
      <c r="X52" s="1">
        <v>19</v>
      </c>
      <c r="Y52" s="1">
        <f>W52-X52</f>
        <v>38</v>
      </c>
    </row>
    <row r="53" spans="1:25" x14ac:dyDescent="0.35">
      <c r="A53" s="1" t="s">
        <v>8</v>
      </c>
      <c r="B53" s="2">
        <v>4</v>
      </c>
      <c r="C53" s="2">
        <v>9</v>
      </c>
      <c r="D53" s="10">
        <v>5</v>
      </c>
      <c r="E53" s="2">
        <v>6</v>
      </c>
      <c r="F53" s="2">
        <v>6</v>
      </c>
      <c r="G53" s="2">
        <v>5</v>
      </c>
      <c r="H53" s="2">
        <v>8</v>
      </c>
      <c r="I53" s="16">
        <v>6</v>
      </c>
      <c r="J53" s="2">
        <v>5</v>
      </c>
      <c r="K53" s="1">
        <f t="shared" ref="K53:K59" si="16">SUM(B53:J53)</f>
        <v>54</v>
      </c>
      <c r="L53" s="1">
        <v>13.5</v>
      </c>
      <c r="M53" s="1">
        <f t="shared" ref="M53:M59" si="17">K53-L53</f>
        <v>40.5</v>
      </c>
      <c r="N53" s="2">
        <v>9</v>
      </c>
      <c r="O53" s="2">
        <v>10</v>
      </c>
      <c r="P53" s="2">
        <v>7</v>
      </c>
      <c r="Q53" s="2">
        <v>7</v>
      </c>
      <c r="R53" s="16">
        <v>6</v>
      </c>
      <c r="S53" s="10">
        <v>5</v>
      </c>
      <c r="T53" s="2">
        <v>5</v>
      </c>
      <c r="U53" s="2">
        <v>6</v>
      </c>
      <c r="V53" s="2">
        <v>6</v>
      </c>
      <c r="W53" s="1">
        <f t="shared" si="15"/>
        <v>61</v>
      </c>
      <c r="X53" s="1">
        <v>13.5</v>
      </c>
      <c r="Y53" s="1">
        <f t="shared" ref="Y53:Y59" si="18">W53-X53</f>
        <v>47.5</v>
      </c>
    </row>
    <row r="54" spans="1:25" x14ac:dyDescent="0.35">
      <c r="A54" s="1" t="s">
        <v>0</v>
      </c>
      <c r="B54" s="2">
        <v>4</v>
      </c>
      <c r="C54" s="2">
        <v>6</v>
      </c>
      <c r="D54" s="10">
        <v>4</v>
      </c>
      <c r="E54" s="2">
        <v>8</v>
      </c>
      <c r="F54" s="2">
        <v>5</v>
      </c>
      <c r="G54" s="2">
        <v>4</v>
      </c>
      <c r="H54" s="2">
        <v>8</v>
      </c>
      <c r="I54" s="16">
        <v>6</v>
      </c>
      <c r="J54" s="2">
        <v>6</v>
      </c>
      <c r="K54" s="1">
        <f t="shared" si="16"/>
        <v>51</v>
      </c>
      <c r="L54" s="1">
        <v>13</v>
      </c>
      <c r="M54" s="1">
        <f t="shared" si="17"/>
        <v>38</v>
      </c>
      <c r="N54" s="2">
        <v>8</v>
      </c>
      <c r="O54" s="2">
        <v>6</v>
      </c>
      <c r="P54" s="2">
        <v>6</v>
      </c>
      <c r="Q54" s="2">
        <v>3</v>
      </c>
      <c r="R54" s="16">
        <v>10</v>
      </c>
      <c r="S54" s="10">
        <v>4</v>
      </c>
      <c r="T54" s="2">
        <v>7</v>
      </c>
      <c r="U54" s="2">
        <v>5</v>
      </c>
      <c r="V54" s="2">
        <v>6</v>
      </c>
      <c r="W54" s="1">
        <f t="shared" si="15"/>
        <v>55</v>
      </c>
      <c r="X54" s="1">
        <v>13</v>
      </c>
      <c r="Y54" s="1">
        <f t="shared" si="18"/>
        <v>42</v>
      </c>
    </row>
    <row r="55" spans="1:25" x14ac:dyDescent="0.35">
      <c r="A55" s="1" t="s">
        <v>2</v>
      </c>
      <c r="B55" s="2">
        <v>3</v>
      </c>
      <c r="C55" s="2">
        <v>6</v>
      </c>
      <c r="D55" s="10">
        <v>3</v>
      </c>
      <c r="E55" s="2">
        <v>4</v>
      </c>
      <c r="F55" s="2">
        <v>4</v>
      </c>
      <c r="G55" s="2">
        <v>3</v>
      </c>
      <c r="H55" s="2">
        <v>7</v>
      </c>
      <c r="I55" s="16">
        <v>6</v>
      </c>
      <c r="J55" s="2">
        <v>5</v>
      </c>
      <c r="K55" s="1">
        <f t="shared" si="16"/>
        <v>41</v>
      </c>
      <c r="L55" s="1">
        <v>6.5</v>
      </c>
      <c r="M55" s="1">
        <f t="shared" si="17"/>
        <v>34.5</v>
      </c>
      <c r="N55" s="2">
        <v>6</v>
      </c>
      <c r="O55" s="2">
        <v>4</v>
      </c>
      <c r="P55" s="2">
        <v>5</v>
      </c>
      <c r="Q55" s="2">
        <v>7</v>
      </c>
      <c r="R55" s="16">
        <v>5</v>
      </c>
      <c r="S55" s="10">
        <v>4</v>
      </c>
      <c r="T55" s="2">
        <v>4</v>
      </c>
      <c r="U55" s="2">
        <v>4</v>
      </c>
      <c r="V55" s="2">
        <v>4</v>
      </c>
      <c r="W55" s="1">
        <f t="shared" si="15"/>
        <v>43</v>
      </c>
      <c r="X55" s="1">
        <v>6.5</v>
      </c>
      <c r="Y55" s="1">
        <f t="shared" si="18"/>
        <v>36.5</v>
      </c>
    </row>
    <row r="56" spans="1:25" x14ac:dyDescent="0.35">
      <c r="A56" s="1" t="s">
        <v>103</v>
      </c>
      <c r="B56" s="2">
        <v>4</v>
      </c>
      <c r="C56" s="2">
        <v>5</v>
      </c>
      <c r="D56" s="10">
        <v>4</v>
      </c>
      <c r="E56" s="2">
        <v>7</v>
      </c>
      <c r="F56" s="2">
        <v>4</v>
      </c>
      <c r="G56" s="2">
        <v>5</v>
      </c>
      <c r="H56" s="2">
        <v>6</v>
      </c>
      <c r="I56" s="16">
        <v>8</v>
      </c>
      <c r="J56" s="2">
        <v>4</v>
      </c>
      <c r="K56" s="1">
        <f t="shared" si="16"/>
        <v>47</v>
      </c>
      <c r="L56" s="1">
        <v>6</v>
      </c>
      <c r="M56" s="1">
        <f t="shared" si="17"/>
        <v>41</v>
      </c>
      <c r="N56" s="2">
        <v>8</v>
      </c>
      <c r="O56" s="2">
        <v>7</v>
      </c>
      <c r="P56" s="2">
        <v>4</v>
      </c>
      <c r="Q56" s="2">
        <v>5</v>
      </c>
      <c r="R56" s="16">
        <v>6</v>
      </c>
      <c r="S56" s="10">
        <v>3</v>
      </c>
      <c r="T56" s="2">
        <v>6</v>
      </c>
      <c r="U56" s="2">
        <v>4</v>
      </c>
      <c r="V56" s="2">
        <v>5</v>
      </c>
      <c r="W56" s="1">
        <f t="shared" si="15"/>
        <v>48</v>
      </c>
      <c r="X56" s="1">
        <v>6</v>
      </c>
      <c r="Y56" s="1">
        <f t="shared" si="18"/>
        <v>42</v>
      </c>
    </row>
    <row r="57" spans="1:25" x14ac:dyDescent="0.35">
      <c r="A57" s="1" t="s">
        <v>3</v>
      </c>
      <c r="B57" s="2">
        <v>4</v>
      </c>
      <c r="C57" s="2">
        <v>6</v>
      </c>
      <c r="D57" s="10">
        <v>3</v>
      </c>
      <c r="E57" s="2">
        <v>4</v>
      </c>
      <c r="F57" s="2">
        <v>4</v>
      </c>
      <c r="G57" s="2">
        <v>4</v>
      </c>
      <c r="H57" s="2">
        <v>4</v>
      </c>
      <c r="I57" s="16">
        <v>8</v>
      </c>
      <c r="J57" s="2">
        <v>7</v>
      </c>
      <c r="K57" s="1">
        <f t="shared" si="16"/>
        <v>44</v>
      </c>
      <c r="L57" s="1">
        <v>5.5</v>
      </c>
      <c r="M57" s="1">
        <f t="shared" si="17"/>
        <v>38.5</v>
      </c>
      <c r="N57" s="2">
        <v>5</v>
      </c>
      <c r="O57" s="2">
        <v>3</v>
      </c>
      <c r="P57" s="2">
        <v>4</v>
      </c>
      <c r="Q57" s="2">
        <v>5</v>
      </c>
      <c r="R57" s="16">
        <v>6</v>
      </c>
      <c r="S57" s="10">
        <v>4</v>
      </c>
      <c r="T57" s="2">
        <v>6</v>
      </c>
      <c r="U57" s="2">
        <v>3</v>
      </c>
      <c r="V57" s="2">
        <v>5</v>
      </c>
      <c r="W57" s="1">
        <f t="shared" si="15"/>
        <v>41</v>
      </c>
      <c r="X57" s="1">
        <v>5.5</v>
      </c>
      <c r="Y57" s="1">
        <f t="shared" si="18"/>
        <v>35.5</v>
      </c>
    </row>
    <row r="58" spans="1:25" x14ac:dyDescent="0.35">
      <c r="A58" s="1" t="s">
        <v>4</v>
      </c>
      <c r="B58" s="2">
        <v>3</v>
      </c>
      <c r="C58" s="2">
        <v>6</v>
      </c>
      <c r="D58" s="10">
        <v>2</v>
      </c>
      <c r="E58" s="2">
        <v>4</v>
      </c>
      <c r="F58" s="2">
        <v>4</v>
      </c>
      <c r="G58" s="2">
        <v>3</v>
      </c>
      <c r="H58" s="2">
        <v>6</v>
      </c>
      <c r="I58" s="16">
        <v>6</v>
      </c>
      <c r="J58" s="2">
        <v>5</v>
      </c>
      <c r="K58" s="1">
        <f t="shared" si="16"/>
        <v>39</v>
      </c>
      <c r="L58" s="1">
        <v>5</v>
      </c>
      <c r="M58" s="1">
        <f t="shared" si="17"/>
        <v>34</v>
      </c>
      <c r="N58" s="2">
        <v>5</v>
      </c>
      <c r="O58" s="2">
        <v>4</v>
      </c>
      <c r="P58" s="2">
        <v>3</v>
      </c>
      <c r="Q58" s="2">
        <v>4</v>
      </c>
      <c r="R58" s="16">
        <v>6</v>
      </c>
      <c r="S58" s="10">
        <v>4</v>
      </c>
      <c r="T58" s="2">
        <v>6</v>
      </c>
      <c r="U58" s="2">
        <v>3</v>
      </c>
      <c r="V58" s="2">
        <v>4</v>
      </c>
      <c r="W58" s="1">
        <f t="shared" si="15"/>
        <v>39</v>
      </c>
      <c r="X58" s="1">
        <v>5</v>
      </c>
      <c r="Y58" s="1">
        <f t="shared" si="18"/>
        <v>34</v>
      </c>
    </row>
    <row r="59" spans="1:25" x14ac:dyDescent="0.35">
      <c r="A59" s="1" t="s">
        <v>7</v>
      </c>
      <c r="B59" s="2"/>
      <c r="C59" s="2"/>
      <c r="D59" s="10"/>
      <c r="E59" s="2"/>
      <c r="F59" s="2"/>
      <c r="G59" s="2"/>
      <c r="H59" s="2"/>
      <c r="I59" s="16"/>
      <c r="J59" s="2"/>
      <c r="K59" s="1">
        <f t="shared" si="16"/>
        <v>0</v>
      </c>
      <c r="L59" s="1">
        <v>4</v>
      </c>
      <c r="M59" s="1">
        <f t="shared" si="17"/>
        <v>-4</v>
      </c>
      <c r="N59" s="2"/>
      <c r="O59" s="2"/>
      <c r="P59" s="2"/>
      <c r="Q59" s="2"/>
      <c r="R59" s="16"/>
      <c r="S59" s="10"/>
      <c r="T59" s="2"/>
      <c r="U59" s="2"/>
      <c r="V59" s="2"/>
      <c r="W59" s="1">
        <f t="shared" si="15"/>
        <v>0</v>
      </c>
      <c r="X59" s="1">
        <v>4</v>
      </c>
      <c r="Y59" s="1">
        <f t="shared" si="18"/>
        <v>-4</v>
      </c>
    </row>
    <row r="60" spans="1:25" x14ac:dyDescent="0.35">
      <c r="D60" s="9" t="s">
        <v>115</v>
      </c>
      <c r="E60" s="22"/>
      <c r="F60" s="22"/>
      <c r="G60" s="1" t="s">
        <v>117</v>
      </c>
      <c r="S60" s="9" t="s">
        <v>116</v>
      </c>
      <c r="T60" s="22"/>
      <c r="U60" s="1"/>
    </row>
  </sheetData>
  <mergeCells count="3">
    <mergeCell ref="A12:N12"/>
    <mergeCell ref="P12:Q12"/>
    <mergeCell ref="T12:Z12"/>
  </mergeCells>
  <pageMargins left="0.7" right="0.7" top="0.75" bottom="0.75" header="0.3" footer="0.3"/>
  <pageSetup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2B766-EC90-494E-A655-5D572C83C431}">
  <dimension ref="A1:I10"/>
  <sheetViews>
    <sheetView workbookViewId="0">
      <selection activeCell="B3" sqref="B3:C10"/>
    </sheetView>
  </sheetViews>
  <sheetFormatPr defaultRowHeight="14.5" x14ac:dyDescent="0.35"/>
  <cols>
    <col min="4" max="4" width="9.54296875" bestFit="1" customWidth="1"/>
  </cols>
  <sheetData>
    <row r="1" spans="1:9" x14ac:dyDescent="0.35">
      <c r="A1" s="44" t="s">
        <v>19</v>
      </c>
      <c r="B1" s="44"/>
      <c r="C1" s="44"/>
      <c r="D1" s="44"/>
      <c r="E1" s="44"/>
      <c r="H1" s="1" t="s">
        <v>1</v>
      </c>
      <c r="I1" s="1" t="s">
        <v>14</v>
      </c>
    </row>
    <row r="2" spans="1:9" x14ac:dyDescent="0.35">
      <c r="A2" s="1" t="s">
        <v>1</v>
      </c>
      <c r="B2" s="1" t="s">
        <v>12</v>
      </c>
      <c r="C2" s="1" t="s">
        <v>13</v>
      </c>
      <c r="D2" s="1" t="s">
        <v>16</v>
      </c>
      <c r="E2" s="1" t="s">
        <v>17</v>
      </c>
      <c r="H2" s="1" t="s">
        <v>5</v>
      </c>
      <c r="I2" s="2">
        <v>19</v>
      </c>
    </row>
    <row r="3" spans="1:9" x14ac:dyDescent="0.35">
      <c r="A3" s="1" t="s">
        <v>5</v>
      </c>
      <c r="B3" s="2">
        <f>'Wk1and2 2026'!K5</f>
        <v>55</v>
      </c>
      <c r="C3" s="2">
        <f>'Wk1and2 2026'!V5</f>
        <v>55</v>
      </c>
      <c r="D3" s="3">
        <f t="shared" ref="D3:D10" si="0">(B3+C3)/2</f>
        <v>55</v>
      </c>
      <c r="E3" s="3">
        <f t="shared" ref="E3:E10" si="1">D3-36</f>
        <v>19</v>
      </c>
      <c r="H3" s="1" t="s">
        <v>8</v>
      </c>
      <c r="I3" s="2">
        <v>13.5</v>
      </c>
    </row>
    <row r="4" spans="1:9" x14ac:dyDescent="0.35">
      <c r="A4" s="1" t="s">
        <v>8</v>
      </c>
      <c r="B4" s="2">
        <f>'Wk1and2 2026'!K19</f>
        <v>50</v>
      </c>
      <c r="C4" s="2">
        <f>'Wk1and2 2026'!V19</f>
        <v>49</v>
      </c>
      <c r="D4" s="3">
        <f t="shared" si="0"/>
        <v>49.5</v>
      </c>
      <c r="E4" s="3">
        <f t="shared" si="1"/>
        <v>13.5</v>
      </c>
      <c r="H4" s="1" t="s">
        <v>0</v>
      </c>
      <c r="I4" s="2">
        <v>13</v>
      </c>
    </row>
    <row r="5" spans="1:9" x14ac:dyDescent="0.35">
      <c r="A5" s="1" t="s">
        <v>0</v>
      </c>
      <c r="B5" s="2">
        <f>'Wk1and2 2026'!K11</f>
        <v>50</v>
      </c>
      <c r="C5" s="2">
        <f>'Wk1and2 2026'!V11</f>
        <v>48</v>
      </c>
      <c r="D5" s="3">
        <f t="shared" si="0"/>
        <v>49</v>
      </c>
      <c r="E5" s="3">
        <f t="shared" si="1"/>
        <v>13</v>
      </c>
      <c r="H5" s="1" t="s">
        <v>2</v>
      </c>
      <c r="I5" s="2">
        <v>6.5</v>
      </c>
    </row>
    <row r="6" spans="1:9" x14ac:dyDescent="0.35">
      <c r="A6" s="1" t="s">
        <v>2</v>
      </c>
      <c r="B6" s="2">
        <f>'Wk1and2 2026'!K13</f>
        <v>43</v>
      </c>
      <c r="C6" s="2">
        <f>'Wk1and2 2026'!V13</f>
        <v>42</v>
      </c>
      <c r="D6" s="3">
        <f t="shared" si="0"/>
        <v>42.5</v>
      </c>
      <c r="E6" s="3">
        <f t="shared" si="1"/>
        <v>6.5</v>
      </c>
      <c r="H6" s="1" t="s">
        <v>103</v>
      </c>
      <c r="I6" s="2">
        <v>6</v>
      </c>
    </row>
    <row r="7" spans="1:9" x14ac:dyDescent="0.35">
      <c r="A7" s="1" t="s">
        <v>103</v>
      </c>
      <c r="B7" s="2">
        <f>'Wk1and2 2026'!K7</f>
        <v>44</v>
      </c>
      <c r="C7" s="2">
        <f>'Wk1and2 2026'!V7</f>
        <v>40</v>
      </c>
      <c r="D7" s="3">
        <f t="shared" si="0"/>
        <v>42</v>
      </c>
      <c r="E7" s="3">
        <f t="shared" si="1"/>
        <v>6</v>
      </c>
      <c r="H7" s="1" t="s">
        <v>3</v>
      </c>
      <c r="I7" s="2">
        <v>5.5</v>
      </c>
    </row>
    <row r="8" spans="1:9" x14ac:dyDescent="0.35">
      <c r="A8" s="1" t="s">
        <v>3</v>
      </c>
      <c r="B8" s="2">
        <f>'Wk1and2 2026'!K15</f>
        <v>41</v>
      </c>
      <c r="C8" s="2">
        <f>'Wk1and2 2026'!V15</f>
        <v>42</v>
      </c>
      <c r="D8" s="3">
        <f t="shared" si="0"/>
        <v>41.5</v>
      </c>
      <c r="E8" s="3">
        <f t="shared" si="1"/>
        <v>5.5</v>
      </c>
      <c r="H8" s="1" t="s">
        <v>4</v>
      </c>
      <c r="I8" s="2">
        <v>5</v>
      </c>
    </row>
    <row r="9" spans="1:9" x14ac:dyDescent="0.35">
      <c r="A9" s="1" t="s">
        <v>4</v>
      </c>
      <c r="B9" s="2">
        <f>'Wk1and2 2026'!K17</f>
        <v>43</v>
      </c>
      <c r="C9" s="2">
        <f>'Wk1and2 2026'!V17</f>
        <v>39</v>
      </c>
      <c r="D9" s="3">
        <f t="shared" si="0"/>
        <v>41</v>
      </c>
      <c r="E9" s="3">
        <f t="shared" si="1"/>
        <v>5</v>
      </c>
      <c r="H9" s="1" t="s">
        <v>7</v>
      </c>
      <c r="I9" s="2">
        <v>4</v>
      </c>
    </row>
    <row r="10" spans="1:9" x14ac:dyDescent="0.35">
      <c r="A10" s="1" t="s">
        <v>7</v>
      </c>
      <c r="B10" s="2">
        <f>'Wk1and2 2026'!K9</f>
        <v>40</v>
      </c>
      <c r="C10" s="2">
        <f>'Wk1and2 2026'!V9</f>
        <v>40</v>
      </c>
      <c r="D10" s="3">
        <f t="shared" si="0"/>
        <v>40</v>
      </c>
      <c r="E10" s="3">
        <f t="shared" si="1"/>
        <v>4</v>
      </c>
    </row>
  </sheetData>
  <autoFilter ref="A2:E2" xr:uid="{4472B766-EC90-494E-A655-5D572C83C431}">
    <sortState xmlns:xlrd2="http://schemas.microsoft.com/office/spreadsheetml/2017/richdata2" ref="A3:E10">
      <sortCondition descending="1" ref="E2"/>
    </sortState>
  </autoFilter>
  <mergeCells count="1">
    <mergeCell ref="A1:E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C43A2-6160-43B1-90AD-9E9B291DAB83}">
  <dimension ref="A1:P22"/>
  <sheetViews>
    <sheetView zoomScale="110" zoomScaleNormal="110" workbookViewId="0">
      <selection activeCell="I8" sqref="I8"/>
    </sheetView>
  </sheetViews>
  <sheetFormatPr defaultRowHeight="15" x14ac:dyDescent="0.35"/>
  <cols>
    <col min="2" max="2" width="9.1796875" bestFit="1" customWidth="1"/>
    <col min="3" max="3" width="10.453125" bestFit="1" customWidth="1"/>
    <col min="5" max="5" width="8.81640625" bestFit="1" customWidth="1"/>
    <col min="8" max="8" width="9.26953125" bestFit="1" customWidth="1"/>
    <col min="9" max="9" width="10.453125" bestFit="1" customWidth="1"/>
    <col min="13" max="13" width="7.54296875" bestFit="1" customWidth="1"/>
    <col min="14" max="14" width="9.26953125" bestFit="1" customWidth="1"/>
    <col min="15" max="15" width="10.453125" bestFit="1" customWidth="1"/>
    <col min="16" max="16" width="8.81640625" bestFit="1" customWidth="1"/>
  </cols>
  <sheetData>
    <row r="1" spans="1:16" ht="14.5" x14ac:dyDescent="0.35">
      <c r="A1" s="44" t="s">
        <v>124</v>
      </c>
      <c r="B1" s="44"/>
      <c r="C1" s="44"/>
      <c r="D1" s="44"/>
      <c r="E1" s="44"/>
      <c r="G1" s="51">
        <v>2026</v>
      </c>
      <c r="H1" s="51"/>
      <c r="I1" s="51"/>
      <c r="J1" s="51"/>
      <c r="K1" s="51"/>
      <c r="M1" s="51">
        <v>2025</v>
      </c>
      <c r="N1" s="51"/>
      <c r="O1" s="51"/>
      <c r="P1" s="51"/>
    </row>
    <row r="2" spans="1:16" ht="14.5" x14ac:dyDescent="0.35">
      <c r="A2" s="1" t="s">
        <v>1</v>
      </c>
      <c r="B2" s="1" t="s">
        <v>112</v>
      </c>
      <c r="C2" s="1" t="s">
        <v>37</v>
      </c>
      <c r="D2" s="1" t="s">
        <v>113</v>
      </c>
      <c r="E2" s="1" t="s">
        <v>9</v>
      </c>
      <c r="G2" s="1" t="s">
        <v>1</v>
      </c>
      <c r="H2" s="1" t="s">
        <v>112</v>
      </c>
      <c r="I2" s="1" t="s">
        <v>37</v>
      </c>
      <c r="J2" s="1" t="s">
        <v>113</v>
      </c>
      <c r="K2" s="1" t="s">
        <v>9</v>
      </c>
      <c r="M2" s="1" t="s">
        <v>1</v>
      </c>
      <c r="N2" s="1" t="s">
        <v>112</v>
      </c>
      <c r="O2" s="1" t="s">
        <v>37</v>
      </c>
      <c r="P2" s="1" t="s">
        <v>9</v>
      </c>
    </row>
    <row r="3" spans="1:16" ht="14.5" x14ac:dyDescent="0.35">
      <c r="A3" s="1" t="s">
        <v>5</v>
      </c>
      <c r="B3" s="36">
        <f>H3+N3</f>
        <v>0</v>
      </c>
      <c r="C3" s="36">
        <f>I3+O3</f>
        <v>20</v>
      </c>
      <c r="D3" s="40"/>
      <c r="E3" s="43">
        <f>SUM(B3:D3)</f>
        <v>20</v>
      </c>
      <c r="G3" s="1" t="s">
        <v>5</v>
      </c>
      <c r="H3" s="36"/>
      <c r="I3" s="36">
        <v>20</v>
      </c>
      <c r="J3" s="40"/>
      <c r="K3" s="43">
        <f>SUM(H3:J3)</f>
        <v>20</v>
      </c>
      <c r="M3" s="1" t="s">
        <v>5</v>
      </c>
      <c r="N3" s="36"/>
      <c r="O3" s="36"/>
      <c r="P3" s="43">
        <f>SUM(N3:O3)</f>
        <v>0</v>
      </c>
    </row>
    <row r="4" spans="1:16" ht="14.5" x14ac:dyDescent="0.35">
      <c r="A4" s="1" t="s">
        <v>103</v>
      </c>
      <c r="B4" s="36">
        <f>H4+N4</f>
        <v>200</v>
      </c>
      <c r="C4" s="36">
        <f>I4+O4</f>
        <v>40</v>
      </c>
      <c r="D4" s="40"/>
      <c r="E4" s="43">
        <f>SUM(B4:D4)</f>
        <v>240</v>
      </c>
      <c r="G4" s="1" t="s">
        <v>103</v>
      </c>
      <c r="H4" s="36">
        <v>200</v>
      </c>
      <c r="I4" s="36">
        <v>40</v>
      </c>
      <c r="J4" s="40"/>
      <c r="K4" s="43">
        <f>SUM(H4:J4)</f>
        <v>240</v>
      </c>
      <c r="M4" s="1" t="s">
        <v>103</v>
      </c>
      <c r="N4" s="36"/>
      <c r="O4" s="36"/>
      <c r="P4" s="43">
        <f>SUM(N4:O4)</f>
        <v>0</v>
      </c>
    </row>
    <row r="5" spans="1:16" ht="14.5" x14ac:dyDescent="0.35">
      <c r="A5" s="1" t="s">
        <v>7</v>
      </c>
      <c r="B5" s="36">
        <f>H5+N5</f>
        <v>0</v>
      </c>
      <c r="C5" s="36">
        <f>I5+O5</f>
        <v>100</v>
      </c>
      <c r="D5" s="40"/>
      <c r="E5" s="43">
        <f>SUM(B5:D5)</f>
        <v>100</v>
      </c>
      <c r="G5" s="1" t="s">
        <v>7</v>
      </c>
      <c r="H5" s="36"/>
      <c r="I5" s="36">
        <v>20</v>
      </c>
      <c r="J5" s="40"/>
      <c r="K5" s="43">
        <f>SUM(H5:J5)</f>
        <v>20</v>
      </c>
      <c r="M5" s="1" t="s">
        <v>7</v>
      </c>
      <c r="N5" s="50"/>
      <c r="O5" s="50">
        <v>80</v>
      </c>
      <c r="P5" s="43">
        <f>SUM(N5:O5)</f>
        <v>80</v>
      </c>
    </row>
    <row r="6" spans="1:16" ht="14.5" x14ac:dyDescent="0.35">
      <c r="A6" s="1" t="s">
        <v>0</v>
      </c>
      <c r="B6" s="36">
        <f>H6+N6</f>
        <v>0</v>
      </c>
      <c r="C6" s="36">
        <f>I6+O6</f>
        <v>0</v>
      </c>
      <c r="D6" s="40">
        <v>82</v>
      </c>
      <c r="E6" s="43">
        <f>SUM(B6:D6)</f>
        <v>82</v>
      </c>
      <c r="G6" s="1" t="s">
        <v>0</v>
      </c>
      <c r="H6" s="36"/>
      <c r="I6" s="36"/>
      <c r="J6" s="40">
        <v>82</v>
      </c>
      <c r="K6" s="43">
        <f>SUM(H6:J6)</f>
        <v>82</v>
      </c>
      <c r="M6" s="1" t="s">
        <v>0</v>
      </c>
      <c r="N6" s="50"/>
      <c r="O6" s="50"/>
      <c r="P6" s="43">
        <f>SUM(N6:O6)</f>
        <v>0</v>
      </c>
    </row>
    <row r="7" spans="1:16" ht="14.5" x14ac:dyDescent="0.35">
      <c r="A7" s="1" t="s">
        <v>2</v>
      </c>
      <c r="B7" s="36">
        <f>H7+N7</f>
        <v>600</v>
      </c>
      <c r="C7" s="36">
        <f>I7+O7</f>
        <v>220</v>
      </c>
      <c r="D7" s="40"/>
      <c r="E7" s="43">
        <f>SUM(B7:D7)</f>
        <v>820</v>
      </c>
      <c r="G7" s="1" t="s">
        <v>2</v>
      </c>
      <c r="H7" s="36">
        <v>200</v>
      </c>
      <c r="I7" s="36">
        <v>60</v>
      </c>
      <c r="J7" s="40"/>
      <c r="K7" s="43">
        <f>SUM(H7:J7)</f>
        <v>260</v>
      </c>
      <c r="M7" s="1" t="s">
        <v>2</v>
      </c>
      <c r="N7" s="50">
        <v>400</v>
      </c>
      <c r="O7" s="50">
        <v>160</v>
      </c>
      <c r="P7" s="43">
        <f>SUM(N7:O7)</f>
        <v>560</v>
      </c>
    </row>
    <row r="8" spans="1:16" ht="14.5" x14ac:dyDescent="0.35">
      <c r="A8" s="1" t="s">
        <v>3</v>
      </c>
      <c r="B8" s="36">
        <f>H8+N8</f>
        <v>150</v>
      </c>
      <c r="C8" s="36">
        <f>I8+O8</f>
        <v>120</v>
      </c>
      <c r="D8" s="40">
        <v>38</v>
      </c>
      <c r="E8" s="43">
        <f>SUM(B8:D8)</f>
        <v>308</v>
      </c>
      <c r="G8" s="1" t="s">
        <v>3</v>
      </c>
      <c r="H8" s="36">
        <v>50</v>
      </c>
      <c r="I8" s="36">
        <v>80</v>
      </c>
      <c r="J8" s="40">
        <v>38</v>
      </c>
      <c r="K8" s="43">
        <f>SUM(H8:J8)</f>
        <v>168</v>
      </c>
      <c r="M8" s="1" t="s">
        <v>3</v>
      </c>
      <c r="N8" s="50">
        <v>100</v>
      </c>
      <c r="O8" s="50">
        <v>40</v>
      </c>
      <c r="P8" s="43">
        <f>SUM(N8:O8)</f>
        <v>140</v>
      </c>
    </row>
    <row r="9" spans="1:16" ht="14.5" x14ac:dyDescent="0.35">
      <c r="A9" s="1" t="s">
        <v>4</v>
      </c>
      <c r="B9" s="36">
        <f>H9+N9</f>
        <v>50</v>
      </c>
      <c r="C9" s="36">
        <f>I9+O9</f>
        <v>100</v>
      </c>
      <c r="D9" s="40">
        <v>16</v>
      </c>
      <c r="E9" s="43">
        <f>SUM(B9:D9)</f>
        <v>166</v>
      </c>
      <c r="G9" s="1" t="s">
        <v>4</v>
      </c>
      <c r="H9" s="36"/>
      <c r="I9" s="36">
        <v>40</v>
      </c>
      <c r="J9" s="40">
        <v>16</v>
      </c>
      <c r="K9" s="43">
        <f>SUM(H9:J9)</f>
        <v>56</v>
      </c>
      <c r="M9" s="1" t="s">
        <v>4</v>
      </c>
      <c r="N9" s="50">
        <v>50</v>
      </c>
      <c r="O9" s="50">
        <v>60</v>
      </c>
      <c r="P9" s="43">
        <f>SUM(N9:O9)</f>
        <v>110</v>
      </c>
    </row>
    <row r="10" spans="1:16" ht="14.5" x14ac:dyDescent="0.35">
      <c r="A10" s="1" t="s">
        <v>8</v>
      </c>
      <c r="B10" s="36">
        <f>H10+N10</f>
        <v>250</v>
      </c>
      <c r="C10" s="36">
        <f>I10+O10</f>
        <v>40</v>
      </c>
      <c r="D10" s="40">
        <v>48.35</v>
      </c>
      <c r="E10" s="43">
        <f>SUM(B10:D10)</f>
        <v>338.35</v>
      </c>
      <c r="G10" s="1" t="s">
        <v>8</v>
      </c>
      <c r="H10" s="36">
        <v>50</v>
      </c>
      <c r="I10" s="36">
        <v>40</v>
      </c>
      <c r="J10" s="40">
        <v>48.35</v>
      </c>
      <c r="K10" s="43">
        <f>SUM(H10:J10)</f>
        <v>138.35</v>
      </c>
      <c r="M10" s="1" t="s">
        <v>8</v>
      </c>
      <c r="N10" s="50">
        <v>200</v>
      </c>
      <c r="O10" s="50"/>
      <c r="P10" s="43">
        <f>SUM(N10:O10)</f>
        <v>200</v>
      </c>
    </row>
    <row r="11" spans="1:16" ht="14.5" x14ac:dyDescent="0.35">
      <c r="A11" s="1" t="s">
        <v>6</v>
      </c>
      <c r="B11" s="36">
        <f>H11+N11</f>
        <v>0</v>
      </c>
      <c r="C11" s="36">
        <f>I11+O11</f>
        <v>20</v>
      </c>
      <c r="D11" s="40"/>
      <c r="E11" s="43">
        <f>SUM(B11:D11)</f>
        <v>20</v>
      </c>
      <c r="G11" s="1" t="s">
        <v>6</v>
      </c>
      <c r="H11" s="36"/>
      <c r="I11" s="36"/>
      <c r="J11" s="40"/>
      <c r="K11" s="43">
        <f>SUM(H11:J11)</f>
        <v>0</v>
      </c>
      <c r="M11" s="1" t="s">
        <v>6</v>
      </c>
      <c r="N11" s="50"/>
      <c r="O11" s="50">
        <v>20</v>
      </c>
      <c r="P11" s="43">
        <f>SUM(N11:O11)</f>
        <v>20</v>
      </c>
    </row>
    <row r="12" spans="1:16" ht="14.5" x14ac:dyDescent="0.35">
      <c r="E12" s="37">
        <f>SUM(E3:E11)</f>
        <v>2094.35</v>
      </c>
      <c r="K12" s="37">
        <f>SUM(K3:K11)</f>
        <v>984.35</v>
      </c>
      <c r="P12" s="37">
        <f>SUM(P3:P11)</f>
        <v>1110</v>
      </c>
    </row>
    <row r="13" spans="1:16" ht="14.5" x14ac:dyDescent="0.35"/>
    <row r="14" spans="1:16" ht="14.5" x14ac:dyDescent="0.35"/>
    <row r="15" spans="1:16" ht="14.5" x14ac:dyDescent="0.35"/>
    <row r="16" spans="1:16" ht="14.5" x14ac:dyDescent="0.35"/>
    <row r="17" ht="14.5" x14ac:dyDescent="0.35"/>
    <row r="18" ht="14.5" x14ac:dyDescent="0.35"/>
    <row r="19" ht="14.5" x14ac:dyDescent="0.35"/>
    <row r="20" ht="14.5" x14ac:dyDescent="0.35"/>
    <row r="21" ht="14.5" x14ac:dyDescent="0.35"/>
    <row r="22" ht="14.5" x14ac:dyDescent="0.35"/>
  </sheetData>
  <mergeCells count="3">
    <mergeCell ref="A1:E1"/>
    <mergeCell ref="G1:K1"/>
    <mergeCell ref="M1:P1"/>
  </mergeCells>
  <pageMargins left="0.7" right="0.7" top="0.75" bottom="0.75" header="0.3" footer="0.3"/>
  <pageSetup paperSize="0" orientation="portrait" horizontalDpi="0" verticalDpi="0" copies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A73B6-2B89-47B7-886A-BE9693A4BB4C}">
  <dimension ref="A2:E12"/>
  <sheetViews>
    <sheetView zoomScale="184" workbookViewId="0">
      <selection activeCell="D10" sqref="D10"/>
    </sheetView>
  </sheetViews>
  <sheetFormatPr defaultRowHeight="14.5" x14ac:dyDescent="0.35"/>
  <cols>
    <col min="2" max="2" width="9.1796875" bestFit="1" customWidth="1"/>
    <col min="3" max="3" width="10.453125" bestFit="1" customWidth="1"/>
  </cols>
  <sheetData>
    <row r="2" spans="1:5" x14ac:dyDescent="0.35">
      <c r="A2" s="1" t="s">
        <v>1</v>
      </c>
      <c r="B2" s="1" t="s">
        <v>112</v>
      </c>
      <c r="C2" s="1" t="s">
        <v>37</v>
      </c>
      <c r="D2" s="1" t="s">
        <v>113</v>
      </c>
      <c r="E2" s="1" t="s">
        <v>9</v>
      </c>
    </row>
    <row r="3" spans="1:5" x14ac:dyDescent="0.35">
      <c r="A3" s="1" t="s">
        <v>5</v>
      </c>
      <c r="B3" s="36"/>
      <c r="C3" s="36">
        <v>20</v>
      </c>
      <c r="D3" s="40"/>
      <c r="E3" s="43">
        <f>SUM(B3:D3)</f>
        <v>20</v>
      </c>
    </row>
    <row r="4" spans="1:5" x14ac:dyDescent="0.35">
      <c r="A4" s="1" t="s">
        <v>103</v>
      </c>
      <c r="B4" s="36">
        <v>200</v>
      </c>
      <c r="C4" s="36">
        <v>40</v>
      </c>
      <c r="D4" s="40"/>
      <c r="E4" s="43">
        <f t="shared" ref="E4:E11" si="0">SUM(B4:D4)</f>
        <v>240</v>
      </c>
    </row>
    <row r="5" spans="1:5" x14ac:dyDescent="0.35">
      <c r="A5" s="1" t="s">
        <v>7</v>
      </c>
      <c r="B5" s="36"/>
      <c r="C5" s="36">
        <v>20</v>
      </c>
      <c r="D5" s="40"/>
      <c r="E5" s="43">
        <f t="shared" si="0"/>
        <v>20</v>
      </c>
    </row>
    <row r="6" spans="1:5" x14ac:dyDescent="0.35">
      <c r="A6" s="1" t="s">
        <v>0</v>
      </c>
      <c r="B6" s="36"/>
      <c r="C6" s="36"/>
      <c r="D6" s="40">
        <v>82</v>
      </c>
      <c r="E6" s="43">
        <f t="shared" si="0"/>
        <v>82</v>
      </c>
    </row>
    <row r="7" spans="1:5" x14ac:dyDescent="0.35">
      <c r="A7" s="1" t="s">
        <v>2</v>
      </c>
      <c r="B7" s="36">
        <v>200</v>
      </c>
      <c r="C7" s="36">
        <v>40</v>
      </c>
      <c r="D7" s="40"/>
      <c r="E7" s="43">
        <f t="shared" si="0"/>
        <v>240</v>
      </c>
    </row>
    <row r="8" spans="1:5" x14ac:dyDescent="0.35">
      <c r="A8" s="1" t="s">
        <v>3</v>
      </c>
      <c r="B8" s="36">
        <v>70</v>
      </c>
      <c r="C8" s="36">
        <v>80</v>
      </c>
      <c r="D8" s="40">
        <v>38</v>
      </c>
      <c r="E8" s="43">
        <f t="shared" si="0"/>
        <v>188</v>
      </c>
    </row>
    <row r="9" spans="1:5" x14ac:dyDescent="0.35">
      <c r="A9" s="1" t="s">
        <v>4</v>
      </c>
      <c r="B9" s="36"/>
      <c r="C9" s="36">
        <v>40</v>
      </c>
      <c r="D9" s="40">
        <v>16</v>
      </c>
      <c r="E9" s="43">
        <f t="shared" si="0"/>
        <v>56</v>
      </c>
    </row>
    <row r="10" spans="1:5" x14ac:dyDescent="0.35">
      <c r="A10" s="1" t="s">
        <v>8</v>
      </c>
      <c r="B10" s="36">
        <v>50</v>
      </c>
      <c r="C10" s="36">
        <v>40</v>
      </c>
      <c r="D10" s="40">
        <v>84.35</v>
      </c>
      <c r="E10" s="43">
        <f t="shared" si="0"/>
        <v>174.35</v>
      </c>
    </row>
    <row r="11" spans="1:5" x14ac:dyDescent="0.35">
      <c r="A11" s="1" t="s">
        <v>6</v>
      </c>
      <c r="B11" s="36"/>
      <c r="C11" s="36"/>
      <c r="D11" s="40"/>
      <c r="E11" s="43">
        <f t="shared" si="0"/>
        <v>0</v>
      </c>
    </row>
    <row r="12" spans="1:5" x14ac:dyDescent="0.35">
      <c r="E12" s="37">
        <f>SUM(E3:E11)</f>
        <v>1020.35</v>
      </c>
    </row>
  </sheetData>
  <pageMargins left="0.7" right="0.7" top="0.75" bottom="0.75" header="0.3" footer="0.3"/>
  <pageSetup paperSize="0" orientation="portrait" horizontalDpi="0" verticalDpi="0" copies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919DD-3CFE-4C20-AD69-803286192382}">
  <dimension ref="A1:U23"/>
  <sheetViews>
    <sheetView zoomScale="75" workbookViewId="0">
      <selection activeCell="R13" sqref="R13"/>
    </sheetView>
  </sheetViews>
  <sheetFormatPr defaultRowHeight="14.5" x14ac:dyDescent="0.35"/>
  <sheetData>
    <row r="1" spans="1:21" x14ac:dyDescent="0.35">
      <c r="A1" s="44" t="s">
        <v>106</v>
      </c>
      <c r="B1" s="44"/>
      <c r="C1" s="44"/>
      <c r="D1" s="44"/>
      <c r="E1" s="44"/>
      <c r="F1" s="44"/>
      <c r="G1" s="44"/>
      <c r="H1" s="44"/>
      <c r="I1" s="44"/>
    </row>
    <row r="2" spans="1:21" x14ac:dyDescent="0.35">
      <c r="A2" s="1" t="s">
        <v>1</v>
      </c>
      <c r="B2" s="1" t="s">
        <v>12</v>
      </c>
      <c r="C2" s="1" t="s">
        <v>13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51</v>
      </c>
      <c r="I2" s="1" t="s">
        <v>52</v>
      </c>
      <c r="J2" s="1" t="s">
        <v>77</v>
      </c>
      <c r="K2" s="1" t="s">
        <v>78</v>
      </c>
      <c r="L2" s="1" t="s">
        <v>79</v>
      </c>
      <c r="M2" s="1" t="s">
        <v>80</v>
      </c>
      <c r="N2" s="1" t="s">
        <v>81</v>
      </c>
      <c r="O2" s="1" t="s">
        <v>82</v>
      </c>
      <c r="P2" s="1" t="s">
        <v>90</v>
      </c>
      <c r="Q2" s="1" t="s">
        <v>91</v>
      </c>
      <c r="R2" s="1" t="s">
        <v>92</v>
      </c>
      <c r="S2" s="1" t="s">
        <v>93</v>
      </c>
      <c r="T2" s="1" t="s">
        <v>130</v>
      </c>
      <c r="U2" s="1" t="s">
        <v>131</v>
      </c>
    </row>
    <row r="3" spans="1:21" x14ac:dyDescent="0.35">
      <c r="A3" s="1" t="s">
        <v>5</v>
      </c>
      <c r="B3" s="36">
        <v>2</v>
      </c>
      <c r="C3" s="36">
        <v>2</v>
      </c>
      <c r="D3" s="40">
        <v>2</v>
      </c>
      <c r="E3" s="40">
        <v>2</v>
      </c>
      <c r="F3" s="40">
        <v>2</v>
      </c>
      <c r="G3" s="40">
        <v>2</v>
      </c>
      <c r="H3" s="40">
        <v>2</v>
      </c>
      <c r="I3" s="40">
        <v>2</v>
      </c>
      <c r="J3" s="36">
        <v>2</v>
      </c>
      <c r="K3" s="36">
        <v>2</v>
      </c>
      <c r="L3" s="40">
        <v>2</v>
      </c>
      <c r="M3" s="40">
        <v>2</v>
      </c>
      <c r="N3" s="40">
        <v>2</v>
      </c>
      <c r="O3" s="40">
        <v>2</v>
      </c>
      <c r="P3" s="40">
        <v>2</v>
      </c>
      <c r="Q3" s="40">
        <v>2</v>
      </c>
      <c r="R3" s="40"/>
      <c r="S3" s="40"/>
      <c r="T3" s="40"/>
      <c r="U3" s="40"/>
    </row>
    <row r="4" spans="1:21" x14ac:dyDescent="0.35">
      <c r="A4" s="1" t="s">
        <v>103</v>
      </c>
      <c r="B4" s="36">
        <v>2</v>
      </c>
      <c r="C4" s="36">
        <v>2</v>
      </c>
      <c r="D4" s="40">
        <v>2</v>
      </c>
      <c r="E4" s="40">
        <v>2</v>
      </c>
      <c r="F4" s="40">
        <v>2</v>
      </c>
      <c r="G4" s="40">
        <v>2</v>
      </c>
      <c r="H4" s="40">
        <v>2</v>
      </c>
      <c r="I4" s="40">
        <v>2</v>
      </c>
      <c r="J4" s="36">
        <v>2</v>
      </c>
      <c r="K4" s="36">
        <v>2</v>
      </c>
      <c r="L4" s="40">
        <v>2</v>
      </c>
      <c r="M4" s="40">
        <v>2</v>
      </c>
      <c r="N4" s="40">
        <v>2</v>
      </c>
      <c r="O4" s="40">
        <v>2</v>
      </c>
      <c r="P4" s="40">
        <v>2</v>
      </c>
      <c r="Q4" s="40">
        <v>2</v>
      </c>
      <c r="R4" s="40"/>
      <c r="S4" s="40"/>
      <c r="T4" s="40"/>
      <c r="U4" s="40"/>
    </row>
    <row r="5" spans="1:21" x14ac:dyDescent="0.35">
      <c r="A5" s="1" t="s">
        <v>7</v>
      </c>
      <c r="B5" s="36">
        <v>2</v>
      </c>
      <c r="C5" s="36">
        <v>2</v>
      </c>
      <c r="D5" s="40">
        <v>2</v>
      </c>
      <c r="E5" s="40">
        <v>0</v>
      </c>
      <c r="F5" s="40">
        <v>0</v>
      </c>
      <c r="G5" s="40">
        <v>0</v>
      </c>
      <c r="H5" s="40">
        <v>0</v>
      </c>
      <c r="I5" s="40">
        <v>0</v>
      </c>
      <c r="J5" s="36">
        <v>0</v>
      </c>
      <c r="K5" s="36">
        <v>0</v>
      </c>
      <c r="L5" s="40">
        <v>2</v>
      </c>
      <c r="M5" s="40">
        <v>0</v>
      </c>
      <c r="N5" s="40">
        <v>2</v>
      </c>
      <c r="O5" s="40">
        <v>0</v>
      </c>
      <c r="P5" s="40">
        <v>0</v>
      </c>
      <c r="Q5" s="40">
        <v>2</v>
      </c>
      <c r="R5" s="40"/>
      <c r="S5" s="40"/>
      <c r="T5" s="40"/>
      <c r="U5" s="40"/>
    </row>
    <row r="6" spans="1:21" x14ac:dyDescent="0.35">
      <c r="A6" s="1" t="s">
        <v>0</v>
      </c>
      <c r="B6" s="36">
        <v>2.35</v>
      </c>
      <c r="C6" s="36">
        <v>2</v>
      </c>
      <c r="D6" s="40">
        <v>2</v>
      </c>
      <c r="E6" s="42">
        <v>2</v>
      </c>
      <c r="F6" s="42">
        <v>2</v>
      </c>
      <c r="G6" s="42">
        <v>2</v>
      </c>
      <c r="H6" s="42">
        <v>2</v>
      </c>
      <c r="I6" s="42">
        <v>2</v>
      </c>
      <c r="J6" s="41">
        <v>2</v>
      </c>
      <c r="K6" s="36">
        <v>0</v>
      </c>
      <c r="L6" s="40">
        <v>0</v>
      </c>
      <c r="M6" s="40">
        <v>0</v>
      </c>
      <c r="N6" s="40">
        <v>2</v>
      </c>
      <c r="O6" s="40">
        <v>0</v>
      </c>
      <c r="P6" s="40">
        <v>2</v>
      </c>
      <c r="Q6" s="40">
        <v>2</v>
      </c>
      <c r="R6" s="40"/>
      <c r="S6" s="40"/>
      <c r="T6" s="40"/>
      <c r="U6" s="40"/>
    </row>
    <row r="7" spans="1:21" x14ac:dyDescent="0.35">
      <c r="A7" s="1" t="s">
        <v>2</v>
      </c>
      <c r="B7" s="36">
        <v>2</v>
      </c>
      <c r="C7" s="36">
        <v>2</v>
      </c>
      <c r="D7" s="40">
        <v>2</v>
      </c>
      <c r="E7" s="40">
        <v>2</v>
      </c>
      <c r="F7" s="40">
        <v>2</v>
      </c>
      <c r="G7" s="40">
        <v>2</v>
      </c>
      <c r="H7" s="40">
        <v>2</v>
      </c>
      <c r="I7" s="40">
        <v>2</v>
      </c>
      <c r="J7" s="36">
        <v>2</v>
      </c>
      <c r="K7" s="36">
        <v>2</v>
      </c>
      <c r="L7" s="40">
        <v>2</v>
      </c>
      <c r="M7" s="40">
        <v>2</v>
      </c>
      <c r="N7" s="40">
        <v>2</v>
      </c>
      <c r="O7" s="40">
        <v>2</v>
      </c>
      <c r="P7" s="40">
        <v>2</v>
      </c>
      <c r="Q7" s="40">
        <v>2</v>
      </c>
      <c r="R7" s="40"/>
      <c r="S7" s="40"/>
      <c r="T7" s="40"/>
      <c r="U7" s="40"/>
    </row>
    <row r="8" spans="1:21" x14ac:dyDescent="0.35">
      <c r="A8" s="1" t="s">
        <v>3</v>
      </c>
      <c r="B8" s="36">
        <v>2</v>
      </c>
      <c r="C8" s="36">
        <v>2</v>
      </c>
      <c r="D8" s="40">
        <v>2</v>
      </c>
      <c r="E8" s="40">
        <v>2</v>
      </c>
      <c r="F8" s="40">
        <v>2</v>
      </c>
      <c r="G8" s="40">
        <v>2</v>
      </c>
      <c r="H8" s="40">
        <v>2</v>
      </c>
      <c r="I8" s="40">
        <v>2</v>
      </c>
      <c r="J8" s="36">
        <v>2</v>
      </c>
      <c r="K8" s="41">
        <v>2</v>
      </c>
      <c r="L8" s="42">
        <v>2</v>
      </c>
      <c r="M8" s="42">
        <v>2</v>
      </c>
      <c r="N8" s="40">
        <v>2</v>
      </c>
      <c r="O8" s="40">
        <v>0</v>
      </c>
      <c r="P8" s="40">
        <v>2</v>
      </c>
      <c r="Q8" s="40">
        <v>2</v>
      </c>
      <c r="R8" s="40"/>
      <c r="S8" s="40"/>
      <c r="T8" s="40"/>
      <c r="U8" s="40"/>
    </row>
    <row r="9" spans="1:21" x14ac:dyDescent="0.35">
      <c r="A9" s="1" t="s">
        <v>4</v>
      </c>
      <c r="B9" s="36">
        <v>2</v>
      </c>
      <c r="C9" s="36">
        <v>2</v>
      </c>
      <c r="D9" s="40">
        <v>2</v>
      </c>
      <c r="E9" s="40">
        <v>2</v>
      </c>
      <c r="F9" s="40">
        <v>2</v>
      </c>
      <c r="G9" s="40">
        <v>2</v>
      </c>
      <c r="H9" s="40">
        <v>2</v>
      </c>
      <c r="I9" s="40">
        <v>2</v>
      </c>
      <c r="J9" s="36">
        <v>2</v>
      </c>
      <c r="K9" s="36">
        <v>2</v>
      </c>
      <c r="L9" s="40">
        <v>2</v>
      </c>
      <c r="M9" s="40">
        <v>2</v>
      </c>
      <c r="N9" s="40">
        <v>2</v>
      </c>
      <c r="O9" s="40">
        <v>2</v>
      </c>
      <c r="P9" s="40">
        <v>2</v>
      </c>
      <c r="Q9" s="42">
        <v>2</v>
      </c>
      <c r="R9" s="40"/>
      <c r="S9" s="40"/>
      <c r="T9" s="40"/>
      <c r="U9" s="40"/>
    </row>
    <row r="10" spans="1:21" x14ac:dyDescent="0.35">
      <c r="A10" s="1" t="s">
        <v>8</v>
      </c>
      <c r="B10" s="41">
        <v>2</v>
      </c>
      <c r="C10" s="41">
        <v>2</v>
      </c>
      <c r="D10" s="42">
        <v>2</v>
      </c>
      <c r="E10" s="40">
        <v>0</v>
      </c>
      <c r="F10" s="40">
        <v>2</v>
      </c>
      <c r="G10" s="40">
        <v>2</v>
      </c>
      <c r="H10" s="40">
        <v>2</v>
      </c>
      <c r="I10" s="40">
        <v>2</v>
      </c>
      <c r="J10" s="36">
        <v>2</v>
      </c>
      <c r="K10" s="36">
        <v>2</v>
      </c>
      <c r="L10" s="40">
        <v>2</v>
      </c>
      <c r="M10" s="40">
        <v>2</v>
      </c>
      <c r="N10" s="42">
        <v>2</v>
      </c>
      <c r="O10" s="42">
        <v>2</v>
      </c>
      <c r="P10" s="42">
        <v>2</v>
      </c>
      <c r="Q10" s="40">
        <v>2</v>
      </c>
      <c r="R10" s="40"/>
      <c r="S10" s="40"/>
      <c r="T10" s="40"/>
      <c r="U10" s="40"/>
    </row>
    <row r="11" spans="1:21" x14ac:dyDescent="0.35">
      <c r="B11" s="37">
        <f>SUM(B3:B10)</f>
        <v>16.350000000000001</v>
      </c>
      <c r="C11" s="37">
        <f t="shared" ref="C11:Q11" si="0">SUM(C3:C10)</f>
        <v>16</v>
      </c>
      <c r="D11" s="37">
        <f t="shared" si="0"/>
        <v>16</v>
      </c>
      <c r="E11" s="37">
        <f t="shared" si="0"/>
        <v>12</v>
      </c>
      <c r="F11" s="37">
        <f t="shared" si="0"/>
        <v>14</v>
      </c>
      <c r="G11" s="37">
        <f t="shared" si="0"/>
        <v>14</v>
      </c>
      <c r="H11" s="37">
        <f t="shared" si="0"/>
        <v>14</v>
      </c>
      <c r="I11" s="37">
        <f t="shared" si="0"/>
        <v>14</v>
      </c>
      <c r="J11" s="37">
        <f t="shared" si="0"/>
        <v>14</v>
      </c>
      <c r="K11" s="37">
        <f t="shared" si="0"/>
        <v>12</v>
      </c>
      <c r="L11" s="37">
        <f t="shared" si="0"/>
        <v>14</v>
      </c>
      <c r="M11" s="37">
        <f t="shared" si="0"/>
        <v>12</v>
      </c>
      <c r="N11" s="37">
        <f t="shared" si="0"/>
        <v>16</v>
      </c>
      <c r="O11" s="37">
        <f t="shared" si="0"/>
        <v>10</v>
      </c>
      <c r="P11" s="37">
        <f t="shared" si="0"/>
        <v>14</v>
      </c>
      <c r="Q11" s="37">
        <f t="shared" si="0"/>
        <v>16</v>
      </c>
      <c r="R11" s="37">
        <f t="shared" ref="R11:U11" si="1">SUM(R3:R10)</f>
        <v>0</v>
      </c>
      <c r="S11" s="37">
        <f t="shared" si="1"/>
        <v>0</v>
      </c>
      <c r="T11" s="37">
        <f t="shared" si="1"/>
        <v>0</v>
      </c>
      <c r="U11" s="37">
        <f t="shared" si="1"/>
        <v>0</v>
      </c>
    </row>
    <row r="12" spans="1:21" x14ac:dyDescent="0.35">
      <c r="A12" s="22" t="s">
        <v>9</v>
      </c>
      <c r="D12" s="38">
        <f>SUM(B11:D11)</f>
        <v>48.35</v>
      </c>
      <c r="J12" s="38">
        <f>SUM(E11:J11)</f>
        <v>82</v>
      </c>
      <c r="L12" s="38">
        <f>SUM(K11:L11)</f>
        <v>26</v>
      </c>
      <c r="M12" s="38">
        <f>SUM(M11:M11)</f>
        <v>12</v>
      </c>
      <c r="N12" s="38">
        <f>SUM(N11)</f>
        <v>16</v>
      </c>
      <c r="Q12" s="38">
        <f>SUM(Q11)</f>
        <v>16</v>
      </c>
      <c r="R12" s="38">
        <f>SUM(R11:U11)</f>
        <v>0</v>
      </c>
      <c r="S12" s="38"/>
      <c r="T12" s="38"/>
      <c r="U12" s="38"/>
    </row>
    <row r="14" spans="1:21" x14ac:dyDescent="0.35">
      <c r="A14" s="1" t="s">
        <v>1</v>
      </c>
      <c r="B14" s="1" t="s">
        <v>107</v>
      </c>
    </row>
    <row r="15" spans="1:21" x14ac:dyDescent="0.35">
      <c r="A15" s="1" t="s">
        <v>5</v>
      </c>
      <c r="B15" s="36">
        <v>50</v>
      </c>
    </row>
    <row r="16" spans="1:21" x14ac:dyDescent="0.35">
      <c r="A16" s="1" t="s">
        <v>103</v>
      </c>
      <c r="B16" s="36">
        <v>50</v>
      </c>
    </row>
    <row r="17" spans="1:2" x14ac:dyDescent="0.35">
      <c r="A17" s="1" t="s">
        <v>7</v>
      </c>
      <c r="B17" s="36">
        <v>50</v>
      </c>
    </row>
    <row r="18" spans="1:2" x14ac:dyDescent="0.35">
      <c r="A18" s="1" t="s">
        <v>0</v>
      </c>
      <c r="B18" s="36">
        <v>50</v>
      </c>
    </row>
    <row r="19" spans="1:2" x14ac:dyDescent="0.35">
      <c r="A19" s="1" t="s">
        <v>2</v>
      </c>
      <c r="B19" s="36">
        <v>50</v>
      </c>
    </row>
    <row r="20" spans="1:2" x14ac:dyDescent="0.35">
      <c r="A20" s="1" t="s">
        <v>3</v>
      </c>
      <c r="B20" s="36">
        <v>50</v>
      </c>
    </row>
    <row r="21" spans="1:2" x14ac:dyDescent="0.35">
      <c r="A21" s="1" t="s">
        <v>4</v>
      </c>
      <c r="B21" s="36">
        <v>50</v>
      </c>
    </row>
    <row r="22" spans="1:2" x14ac:dyDescent="0.35">
      <c r="A22" s="1" t="s">
        <v>8</v>
      </c>
      <c r="B22" s="36">
        <v>50</v>
      </c>
    </row>
    <row r="23" spans="1:2" x14ac:dyDescent="0.35">
      <c r="A23" s="25" t="s">
        <v>9</v>
      </c>
      <c r="B23" s="37">
        <f>SUM(B15:B22)</f>
        <v>400</v>
      </c>
    </row>
  </sheetData>
  <mergeCells count="1">
    <mergeCell ref="A1:I1"/>
  </mergeCells>
  <phoneticPr fontId="2" type="noConversion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BD454-937A-4CBA-965A-A77FCED5EC63}">
  <dimension ref="A1:W31"/>
  <sheetViews>
    <sheetView zoomScale="80" zoomScaleNormal="80" workbookViewId="0">
      <selection activeCell="L6" sqref="L6"/>
    </sheetView>
  </sheetViews>
  <sheetFormatPr defaultRowHeight="14.5" x14ac:dyDescent="0.35"/>
  <cols>
    <col min="1" max="1" width="18.26953125" bestFit="1" customWidth="1"/>
  </cols>
  <sheetData>
    <row r="1" spans="1:23" x14ac:dyDescent="0.35">
      <c r="A1" s="1" t="s">
        <v>10</v>
      </c>
      <c r="B1" s="1">
        <v>1</v>
      </c>
      <c r="C1" s="1">
        <v>2</v>
      </c>
      <c r="D1" s="1">
        <v>3</v>
      </c>
      <c r="E1" s="1">
        <v>4</v>
      </c>
      <c r="F1" s="9">
        <v>5</v>
      </c>
      <c r="G1" s="1">
        <v>6</v>
      </c>
      <c r="H1" s="1">
        <v>7</v>
      </c>
      <c r="I1" s="1">
        <v>8</v>
      </c>
      <c r="J1" s="1">
        <v>9</v>
      </c>
      <c r="K1" s="1" t="s">
        <v>9</v>
      </c>
      <c r="L1" s="1" t="s">
        <v>14</v>
      </c>
      <c r="M1" s="9">
        <v>10</v>
      </c>
      <c r="N1" s="1">
        <v>11</v>
      </c>
      <c r="O1" s="1">
        <v>12</v>
      </c>
      <c r="P1" s="1">
        <v>13</v>
      </c>
      <c r="Q1" s="1">
        <v>14</v>
      </c>
      <c r="R1" s="11">
        <v>15</v>
      </c>
      <c r="S1" s="1">
        <v>16</v>
      </c>
      <c r="T1" s="14">
        <v>17</v>
      </c>
      <c r="U1" s="1">
        <v>18</v>
      </c>
      <c r="V1" s="1" t="s">
        <v>9</v>
      </c>
      <c r="W1" s="1" t="s">
        <v>14</v>
      </c>
    </row>
    <row r="2" spans="1:23" x14ac:dyDescent="0.35">
      <c r="A2" s="1" t="s">
        <v>15</v>
      </c>
      <c r="B2" s="1">
        <v>4</v>
      </c>
      <c r="C2" s="1">
        <v>3</v>
      </c>
      <c r="D2" s="1">
        <v>4</v>
      </c>
      <c r="E2" s="1">
        <v>5</v>
      </c>
      <c r="F2" s="9">
        <v>3</v>
      </c>
      <c r="G2" s="1">
        <v>4</v>
      </c>
      <c r="H2" s="1">
        <v>4</v>
      </c>
      <c r="I2" s="1">
        <v>5</v>
      </c>
      <c r="J2" s="1">
        <v>4</v>
      </c>
      <c r="K2" s="1">
        <f>SUM(B2:J2)</f>
        <v>36</v>
      </c>
      <c r="L2" s="1"/>
      <c r="M2" s="9">
        <v>3</v>
      </c>
      <c r="N2" s="1">
        <v>4</v>
      </c>
      <c r="O2" s="1">
        <v>4</v>
      </c>
      <c r="P2" s="1">
        <v>5</v>
      </c>
      <c r="Q2" s="1">
        <v>4</v>
      </c>
      <c r="R2" s="11">
        <v>4</v>
      </c>
      <c r="S2" s="1">
        <v>3</v>
      </c>
      <c r="T2" s="14">
        <v>4</v>
      </c>
      <c r="U2" s="1">
        <v>5</v>
      </c>
      <c r="V2" s="1">
        <f>SUM(M2:U2)</f>
        <v>36</v>
      </c>
      <c r="W2" s="4"/>
    </row>
    <row r="3" spans="1:23" x14ac:dyDescent="0.35">
      <c r="A3" s="1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12"/>
      <c r="S3" s="39"/>
      <c r="T3" s="15"/>
      <c r="U3" s="5"/>
      <c r="V3" s="5"/>
      <c r="W3" s="5"/>
    </row>
    <row r="4" spans="1:23" x14ac:dyDescent="0.35">
      <c r="A4" s="1" t="s">
        <v>5</v>
      </c>
      <c r="B4" s="2">
        <v>6</v>
      </c>
      <c r="C4" s="2">
        <v>4</v>
      </c>
      <c r="D4" s="2">
        <v>6</v>
      </c>
      <c r="E4" s="2">
        <v>7</v>
      </c>
      <c r="F4" s="10">
        <v>5</v>
      </c>
      <c r="G4" s="2">
        <v>6</v>
      </c>
      <c r="H4" s="2">
        <v>6</v>
      </c>
      <c r="I4" s="2">
        <v>7</v>
      </c>
      <c r="J4" s="2">
        <v>8</v>
      </c>
      <c r="K4" s="1">
        <f t="shared" ref="K4:K19" si="0">SUM(B4:J4)</f>
        <v>55</v>
      </c>
      <c r="L4" s="11"/>
      <c r="M4" s="10">
        <v>3</v>
      </c>
      <c r="N4" s="16">
        <v>10</v>
      </c>
      <c r="O4" s="2">
        <v>4</v>
      </c>
      <c r="P4" s="2">
        <v>10</v>
      </c>
      <c r="Q4" s="2">
        <v>6</v>
      </c>
      <c r="R4" s="13">
        <v>6</v>
      </c>
      <c r="S4" s="2">
        <v>4</v>
      </c>
      <c r="T4" s="16">
        <v>7</v>
      </c>
      <c r="U4" s="2">
        <v>7</v>
      </c>
      <c r="V4" s="1">
        <f t="shared" ref="V4:V19" si="1">SUM(M4:U4)</f>
        <v>57</v>
      </c>
      <c r="W4" s="4"/>
    </row>
    <row r="5" spans="1:23" x14ac:dyDescent="0.35">
      <c r="A5" s="2" t="s">
        <v>11</v>
      </c>
      <c r="B5" s="1">
        <f>IF(B4&gt;B2*2,B2*2,B4)</f>
        <v>6</v>
      </c>
      <c r="C5" s="1">
        <f t="shared" ref="C5:J5" si="2">IF(C4&gt;C2*2,C2*2,C4)</f>
        <v>4</v>
      </c>
      <c r="D5" s="1">
        <f t="shared" si="2"/>
        <v>6</v>
      </c>
      <c r="E5" s="1">
        <f t="shared" si="2"/>
        <v>7</v>
      </c>
      <c r="F5" s="9">
        <f t="shared" si="2"/>
        <v>5</v>
      </c>
      <c r="G5" s="1">
        <f t="shared" si="2"/>
        <v>6</v>
      </c>
      <c r="H5" s="1">
        <f t="shared" si="2"/>
        <v>6</v>
      </c>
      <c r="I5" s="1">
        <f t="shared" si="2"/>
        <v>7</v>
      </c>
      <c r="J5" s="1">
        <f t="shared" si="2"/>
        <v>8</v>
      </c>
      <c r="K5" s="1">
        <f t="shared" si="0"/>
        <v>55</v>
      </c>
      <c r="L5" s="11">
        <f>K5-K2</f>
        <v>19</v>
      </c>
      <c r="M5" s="9">
        <f t="shared" ref="M5:U5" si="3">IF(M4&gt;M2*2,M2*2,M4)</f>
        <v>3</v>
      </c>
      <c r="N5" s="14">
        <f t="shared" si="3"/>
        <v>8</v>
      </c>
      <c r="O5" s="1">
        <f t="shared" si="3"/>
        <v>4</v>
      </c>
      <c r="P5" s="1">
        <f t="shared" si="3"/>
        <v>10</v>
      </c>
      <c r="Q5" s="1">
        <f t="shared" si="3"/>
        <v>6</v>
      </c>
      <c r="R5" s="11">
        <f t="shared" si="3"/>
        <v>6</v>
      </c>
      <c r="S5" s="1">
        <f t="shared" si="3"/>
        <v>4</v>
      </c>
      <c r="T5" s="14">
        <f t="shared" si="3"/>
        <v>7</v>
      </c>
      <c r="U5" s="1">
        <f t="shared" si="3"/>
        <v>7</v>
      </c>
      <c r="V5" s="1">
        <f t="shared" si="1"/>
        <v>55</v>
      </c>
      <c r="W5" s="4">
        <f>V5-V2</f>
        <v>19</v>
      </c>
    </row>
    <row r="6" spans="1:23" x14ac:dyDescent="0.35">
      <c r="A6" s="1" t="s">
        <v>103</v>
      </c>
      <c r="B6" s="2">
        <v>5</v>
      </c>
      <c r="C6" s="2">
        <v>5</v>
      </c>
      <c r="D6" s="2">
        <v>4</v>
      </c>
      <c r="E6" s="2">
        <v>6</v>
      </c>
      <c r="F6" s="10">
        <v>3</v>
      </c>
      <c r="G6" s="2">
        <v>5</v>
      </c>
      <c r="H6" s="2">
        <v>6</v>
      </c>
      <c r="I6" s="2">
        <v>5</v>
      </c>
      <c r="J6" s="2">
        <v>5</v>
      </c>
      <c r="K6" s="1">
        <f t="shared" si="0"/>
        <v>44</v>
      </c>
      <c r="L6" s="11"/>
      <c r="M6" s="10">
        <v>4</v>
      </c>
      <c r="N6" s="16">
        <v>4</v>
      </c>
      <c r="O6" s="2">
        <v>4</v>
      </c>
      <c r="P6" s="2">
        <v>6</v>
      </c>
      <c r="Q6" s="2">
        <v>4</v>
      </c>
      <c r="R6" s="13">
        <v>5</v>
      </c>
      <c r="S6" s="2">
        <v>3</v>
      </c>
      <c r="T6" s="16">
        <v>5</v>
      </c>
      <c r="U6" s="2">
        <v>5</v>
      </c>
      <c r="V6" s="1">
        <f t="shared" si="1"/>
        <v>40</v>
      </c>
      <c r="W6" s="4"/>
    </row>
    <row r="7" spans="1:23" x14ac:dyDescent="0.35">
      <c r="A7" s="2" t="s">
        <v>11</v>
      </c>
      <c r="B7" s="1">
        <f t="shared" ref="B7:J7" si="4">IF(B6&gt;B2*2,B2*2,B6)</f>
        <v>5</v>
      </c>
      <c r="C7" s="1">
        <f t="shared" si="4"/>
        <v>5</v>
      </c>
      <c r="D7" s="1">
        <f t="shared" si="4"/>
        <v>4</v>
      </c>
      <c r="E7" s="1">
        <f t="shared" si="4"/>
        <v>6</v>
      </c>
      <c r="F7" s="9">
        <f t="shared" si="4"/>
        <v>3</v>
      </c>
      <c r="G7" s="1">
        <f t="shared" si="4"/>
        <v>5</v>
      </c>
      <c r="H7" s="1">
        <f t="shared" si="4"/>
        <v>6</v>
      </c>
      <c r="I7" s="1">
        <f t="shared" si="4"/>
        <v>5</v>
      </c>
      <c r="J7" s="1">
        <f t="shared" si="4"/>
        <v>5</v>
      </c>
      <c r="K7" s="1">
        <f t="shared" si="0"/>
        <v>44</v>
      </c>
      <c r="L7" s="11">
        <f>K7-K2</f>
        <v>8</v>
      </c>
      <c r="M7" s="9">
        <f t="shared" ref="M7:U7" si="5">IF(M6&gt;M2*2,M2*2,M6)</f>
        <v>4</v>
      </c>
      <c r="N7" s="14">
        <f t="shared" si="5"/>
        <v>4</v>
      </c>
      <c r="O7" s="1">
        <f t="shared" si="5"/>
        <v>4</v>
      </c>
      <c r="P7" s="1">
        <f t="shared" si="5"/>
        <v>6</v>
      </c>
      <c r="Q7" s="1">
        <f t="shared" si="5"/>
        <v>4</v>
      </c>
      <c r="R7" s="11">
        <f t="shared" si="5"/>
        <v>5</v>
      </c>
      <c r="S7" s="1">
        <f t="shared" si="5"/>
        <v>3</v>
      </c>
      <c r="T7" s="14">
        <f t="shared" si="5"/>
        <v>5</v>
      </c>
      <c r="U7" s="1">
        <f t="shared" si="5"/>
        <v>5</v>
      </c>
      <c r="V7" s="1">
        <f t="shared" si="1"/>
        <v>40</v>
      </c>
      <c r="W7" s="4">
        <f>V7-V2</f>
        <v>4</v>
      </c>
    </row>
    <row r="8" spans="1:23" x14ac:dyDescent="0.35">
      <c r="A8" s="1" t="s">
        <v>7</v>
      </c>
      <c r="B8" s="2">
        <v>5</v>
      </c>
      <c r="C8" s="2">
        <v>4</v>
      </c>
      <c r="D8" s="2">
        <v>3</v>
      </c>
      <c r="E8" s="2">
        <v>6</v>
      </c>
      <c r="F8" s="10">
        <v>3</v>
      </c>
      <c r="G8" s="2">
        <v>5</v>
      </c>
      <c r="H8" s="2">
        <v>4</v>
      </c>
      <c r="I8" s="2">
        <v>5</v>
      </c>
      <c r="J8" s="2">
        <v>5</v>
      </c>
      <c r="K8" s="1">
        <f t="shared" si="0"/>
        <v>40</v>
      </c>
      <c r="L8" s="11"/>
      <c r="M8" s="10">
        <v>3</v>
      </c>
      <c r="N8" s="16">
        <v>5</v>
      </c>
      <c r="O8" s="2">
        <v>3</v>
      </c>
      <c r="P8" s="2">
        <v>6</v>
      </c>
      <c r="Q8" s="2">
        <v>5</v>
      </c>
      <c r="R8" s="13">
        <v>5</v>
      </c>
      <c r="S8" s="2">
        <v>3</v>
      </c>
      <c r="T8" s="16">
        <v>5</v>
      </c>
      <c r="U8" s="2">
        <v>5</v>
      </c>
      <c r="V8" s="1">
        <f>SUM(M8:U8)</f>
        <v>40</v>
      </c>
      <c r="W8" s="4"/>
    </row>
    <row r="9" spans="1:23" x14ac:dyDescent="0.35">
      <c r="A9" s="2" t="s">
        <v>11</v>
      </c>
      <c r="B9" s="1">
        <f t="shared" ref="B9:J9" si="6">IF(B8&gt;B2*2,B2*2,B8)</f>
        <v>5</v>
      </c>
      <c r="C9" s="1">
        <f t="shared" si="6"/>
        <v>4</v>
      </c>
      <c r="D9" s="1">
        <f t="shared" si="6"/>
        <v>3</v>
      </c>
      <c r="E9" s="1">
        <f t="shared" si="6"/>
        <v>6</v>
      </c>
      <c r="F9" s="9">
        <f t="shared" si="6"/>
        <v>3</v>
      </c>
      <c r="G9" s="1">
        <f t="shared" si="6"/>
        <v>5</v>
      </c>
      <c r="H9" s="1">
        <f t="shared" si="6"/>
        <v>4</v>
      </c>
      <c r="I9" s="1">
        <f t="shared" si="6"/>
        <v>5</v>
      </c>
      <c r="J9" s="1">
        <f t="shared" si="6"/>
        <v>5</v>
      </c>
      <c r="K9" s="1">
        <f t="shared" si="0"/>
        <v>40</v>
      </c>
      <c r="L9" s="11">
        <f>K9-K2</f>
        <v>4</v>
      </c>
      <c r="M9" s="9">
        <f t="shared" ref="M9:U9" si="7">IF(M8&gt;M2*2,M2*2,M8)</f>
        <v>3</v>
      </c>
      <c r="N9" s="14">
        <f t="shared" si="7"/>
        <v>5</v>
      </c>
      <c r="O9" s="1">
        <f t="shared" si="7"/>
        <v>3</v>
      </c>
      <c r="P9" s="1">
        <f t="shared" si="7"/>
        <v>6</v>
      </c>
      <c r="Q9" s="1">
        <f t="shared" si="7"/>
        <v>5</v>
      </c>
      <c r="R9" s="11">
        <f t="shared" si="7"/>
        <v>5</v>
      </c>
      <c r="S9" s="1">
        <f t="shared" si="7"/>
        <v>3</v>
      </c>
      <c r="T9" s="14">
        <f t="shared" si="7"/>
        <v>5</v>
      </c>
      <c r="U9" s="1">
        <f t="shared" si="7"/>
        <v>5</v>
      </c>
      <c r="V9" s="1">
        <f>SUM(M9:U9)</f>
        <v>40</v>
      </c>
      <c r="W9" s="4">
        <f>V9-V2</f>
        <v>4</v>
      </c>
    </row>
    <row r="10" spans="1:23" x14ac:dyDescent="0.35">
      <c r="A10" s="1" t="s">
        <v>0</v>
      </c>
      <c r="B10" s="2">
        <v>6</v>
      </c>
      <c r="C10" s="2">
        <v>4</v>
      </c>
      <c r="D10" s="2">
        <v>4</v>
      </c>
      <c r="E10" s="2">
        <v>7</v>
      </c>
      <c r="F10" s="10">
        <v>4</v>
      </c>
      <c r="G10" s="2">
        <v>6</v>
      </c>
      <c r="H10" s="2">
        <v>8</v>
      </c>
      <c r="I10" s="2">
        <v>6</v>
      </c>
      <c r="J10" s="2">
        <v>5</v>
      </c>
      <c r="K10" s="1">
        <f t="shared" si="0"/>
        <v>50</v>
      </c>
      <c r="L10" s="11"/>
      <c r="M10" s="10">
        <v>5</v>
      </c>
      <c r="N10" s="16">
        <v>5</v>
      </c>
      <c r="O10" s="2">
        <v>4</v>
      </c>
      <c r="P10" s="2">
        <v>6</v>
      </c>
      <c r="Q10" s="2">
        <v>5</v>
      </c>
      <c r="R10" s="13">
        <v>6</v>
      </c>
      <c r="S10" s="2">
        <v>4</v>
      </c>
      <c r="T10" s="16">
        <v>7</v>
      </c>
      <c r="U10" s="2">
        <v>6</v>
      </c>
      <c r="V10" s="1">
        <f>SUM(M10:U10)</f>
        <v>48</v>
      </c>
      <c r="W10" s="4"/>
    </row>
    <row r="11" spans="1:23" x14ac:dyDescent="0.35">
      <c r="A11" s="2" t="s">
        <v>11</v>
      </c>
      <c r="B11" s="1">
        <f t="shared" ref="B11:J11" si="8">IF(B10&gt;B2*2,B2*2,B10)</f>
        <v>6</v>
      </c>
      <c r="C11" s="1">
        <f t="shared" si="8"/>
        <v>4</v>
      </c>
      <c r="D11" s="1">
        <f t="shared" si="8"/>
        <v>4</v>
      </c>
      <c r="E11" s="1">
        <f t="shared" si="8"/>
        <v>7</v>
      </c>
      <c r="F11" s="9">
        <f t="shared" si="8"/>
        <v>4</v>
      </c>
      <c r="G11" s="1">
        <f t="shared" si="8"/>
        <v>6</v>
      </c>
      <c r="H11" s="1">
        <f t="shared" si="8"/>
        <v>8</v>
      </c>
      <c r="I11" s="1">
        <f t="shared" si="8"/>
        <v>6</v>
      </c>
      <c r="J11" s="1">
        <f t="shared" si="8"/>
        <v>5</v>
      </c>
      <c r="K11" s="1">
        <f t="shared" si="0"/>
        <v>50</v>
      </c>
      <c r="L11" s="11">
        <f>K11-K2</f>
        <v>14</v>
      </c>
      <c r="M11" s="9">
        <f t="shared" ref="M11:U11" si="9">IF(M10&gt;M2*2,M2*2,M10)</f>
        <v>5</v>
      </c>
      <c r="N11" s="14">
        <f t="shared" si="9"/>
        <v>5</v>
      </c>
      <c r="O11" s="1">
        <f t="shared" si="9"/>
        <v>4</v>
      </c>
      <c r="P11" s="1">
        <f t="shared" si="9"/>
        <v>6</v>
      </c>
      <c r="Q11" s="1">
        <f t="shared" si="9"/>
        <v>5</v>
      </c>
      <c r="R11" s="11">
        <f t="shared" si="9"/>
        <v>6</v>
      </c>
      <c r="S11" s="1">
        <f t="shared" si="9"/>
        <v>4</v>
      </c>
      <c r="T11" s="14">
        <f t="shared" si="9"/>
        <v>7</v>
      </c>
      <c r="U11" s="1">
        <f t="shared" si="9"/>
        <v>6</v>
      </c>
      <c r="V11" s="1">
        <f t="shared" si="1"/>
        <v>48</v>
      </c>
      <c r="W11" s="4">
        <f>V11-V2</f>
        <v>12</v>
      </c>
    </row>
    <row r="12" spans="1:23" x14ac:dyDescent="0.35">
      <c r="A12" s="1" t="s">
        <v>2</v>
      </c>
      <c r="B12" s="2">
        <v>5</v>
      </c>
      <c r="C12" s="2">
        <v>4</v>
      </c>
      <c r="D12" s="2">
        <v>6</v>
      </c>
      <c r="E12" s="2">
        <v>5</v>
      </c>
      <c r="F12" s="10">
        <v>6</v>
      </c>
      <c r="G12" s="2">
        <v>4</v>
      </c>
      <c r="H12" s="2">
        <v>5</v>
      </c>
      <c r="I12" s="2">
        <v>4</v>
      </c>
      <c r="J12" s="2">
        <v>4</v>
      </c>
      <c r="K12" s="1">
        <f t="shared" si="0"/>
        <v>43</v>
      </c>
      <c r="L12" s="11"/>
      <c r="M12" s="10">
        <v>3</v>
      </c>
      <c r="N12" s="16">
        <v>4</v>
      </c>
      <c r="O12" s="2">
        <v>5</v>
      </c>
      <c r="P12" s="2">
        <v>7</v>
      </c>
      <c r="Q12" s="2">
        <v>4</v>
      </c>
      <c r="R12" s="13">
        <v>5</v>
      </c>
      <c r="S12" s="2">
        <v>4</v>
      </c>
      <c r="T12" s="16">
        <v>5</v>
      </c>
      <c r="U12" s="2">
        <v>5</v>
      </c>
      <c r="V12" s="1">
        <f t="shared" si="1"/>
        <v>42</v>
      </c>
      <c r="W12" s="4"/>
    </row>
    <row r="13" spans="1:23" x14ac:dyDescent="0.35">
      <c r="A13" s="2" t="s">
        <v>11</v>
      </c>
      <c r="B13" s="1">
        <f t="shared" ref="B13:J13" si="10">IF(B12&gt;B2*2,B2*2,B12)</f>
        <v>5</v>
      </c>
      <c r="C13" s="1">
        <f t="shared" si="10"/>
        <v>4</v>
      </c>
      <c r="D13" s="1">
        <f t="shared" si="10"/>
        <v>6</v>
      </c>
      <c r="E13" s="1">
        <f t="shared" si="10"/>
        <v>5</v>
      </c>
      <c r="F13" s="9">
        <f t="shared" si="10"/>
        <v>6</v>
      </c>
      <c r="G13" s="1">
        <f t="shared" si="10"/>
        <v>4</v>
      </c>
      <c r="H13" s="1">
        <f t="shared" si="10"/>
        <v>5</v>
      </c>
      <c r="I13" s="1">
        <f t="shared" si="10"/>
        <v>4</v>
      </c>
      <c r="J13" s="1">
        <f t="shared" si="10"/>
        <v>4</v>
      </c>
      <c r="K13" s="1">
        <f t="shared" si="0"/>
        <v>43</v>
      </c>
      <c r="L13" s="11">
        <f>K13-K2</f>
        <v>7</v>
      </c>
      <c r="M13" s="9">
        <f t="shared" ref="M13:U13" si="11">IF(M12&gt;M2*2,M2*2,M12)</f>
        <v>3</v>
      </c>
      <c r="N13" s="14">
        <f t="shared" si="11"/>
        <v>4</v>
      </c>
      <c r="O13" s="1">
        <f t="shared" si="11"/>
        <v>5</v>
      </c>
      <c r="P13" s="1">
        <f t="shared" si="11"/>
        <v>7</v>
      </c>
      <c r="Q13" s="1">
        <f t="shared" si="11"/>
        <v>4</v>
      </c>
      <c r="R13" s="11">
        <f t="shared" si="11"/>
        <v>5</v>
      </c>
      <c r="S13" s="1">
        <f t="shared" si="11"/>
        <v>4</v>
      </c>
      <c r="T13" s="14">
        <f t="shared" si="11"/>
        <v>5</v>
      </c>
      <c r="U13" s="1">
        <f t="shared" si="11"/>
        <v>5</v>
      </c>
      <c r="V13" s="1">
        <f t="shared" si="1"/>
        <v>42</v>
      </c>
      <c r="W13" s="4">
        <f>V13-V2</f>
        <v>6</v>
      </c>
    </row>
    <row r="14" spans="1:23" x14ac:dyDescent="0.35">
      <c r="A14" s="1" t="s">
        <v>3</v>
      </c>
      <c r="B14" s="2">
        <v>5</v>
      </c>
      <c r="C14" s="2">
        <v>4</v>
      </c>
      <c r="D14" s="2">
        <v>5</v>
      </c>
      <c r="E14" s="2">
        <v>5</v>
      </c>
      <c r="F14" s="10">
        <v>3</v>
      </c>
      <c r="G14" s="2">
        <v>5</v>
      </c>
      <c r="H14" s="2">
        <v>4</v>
      </c>
      <c r="I14" s="2">
        <v>5</v>
      </c>
      <c r="J14" s="2">
        <v>5</v>
      </c>
      <c r="K14" s="1">
        <f t="shared" si="0"/>
        <v>41</v>
      </c>
      <c r="L14" s="11"/>
      <c r="M14" s="10">
        <v>3</v>
      </c>
      <c r="N14" s="16">
        <v>4</v>
      </c>
      <c r="O14" s="2">
        <v>5</v>
      </c>
      <c r="P14" s="2">
        <v>6</v>
      </c>
      <c r="Q14" s="2">
        <v>4</v>
      </c>
      <c r="R14" s="13">
        <v>5</v>
      </c>
      <c r="S14" s="2">
        <v>4</v>
      </c>
      <c r="T14" s="16">
        <v>6</v>
      </c>
      <c r="U14" s="2">
        <v>5</v>
      </c>
      <c r="V14" s="1">
        <f t="shared" si="1"/>
        <v>42</v>
      </c>
      <c r="W14" s="4"/>
    </row>
    <row r="15" spans="1:23" x14ac:dyDescent="0.35">
      <c r="A15" s="2" t="s">
        <v>11</v>
      </c>
      <c r="B15" s="1">
        <f t="shared" ref="B15:J15" si="12">IF(B14&gt;B2*2,B2*2,B14)</f>
        <v>5</v>
      </c>
      <c r="C15" s="1">
        <f t="shared" si="12"/>
        <v>4</v>
      </c>
      <c r="D15" s="1">
        <f t="shared" si="12"/>
        <v>5</v>
      </c>
      <c r="E15" s="1">
        <f t="shared" si="12"/>
        <v>5</v>
      </c>
      <c r="F15" s="9">
        <f t="shared" si="12"/>
        <v>3</v>
      </c>
      <c r="G15" s="1">
        <f t="shared" si="12"/>
        <v>5</v>
      </c>
      <c r="H15" s="1">
        <f t="shared" si="12"/>
        <v>4</v>
      </c>
      <c r="I15" s="1">
        <f t="shared" si="12"/>
        <v>5</v>
      </c>
      <c r="J15" s="1">
        <f t="shared" si="12"/>
        <v>5</v>
      </c>
      <c r="K15" s="1">
        <f t="shared" si="0"/>
        <v>41</v>
      </c>
      <c r="L15" s="11">
        <f>K15-K2</f>
        <v>5</v>
      </c>
      <c r="M15" s="9">
        <f t="shared" ref="M15:U15" si="13">IF(M14&gt;M2*2,M2*2,M14)</f>
        <v>3</v>
      </c>
      <c r="N15" s="14">
        <f t="shared" si="13"/>
        <v>4</v>
      </c>
      <c r="O15" s="1">
        <f t="shared" si="13"/>
        <v>5</v>
      </c>
      <c r="P15" s="1">
        <f t="shared" si="13"/>
        <v>6</v>
      </c>
      <c r="Q15" s="1">
        <f t="shared" si="13"/>
        <v>4</v>
      </c>
      <c r="R15" s="11">
        <f t="shared" si="13"/>
        <v>5</v>
      </c>
      <c r="S15" s="1">
        <f t="shared" si="13"/>
        <v>4</v>
      </c>
      <c r="T15" s="14">
        <f t="shared" si="13"/>
        <v>6</v>
      </c>
      <c r="U15" s="1">
        <f t="shared" si="13"/>
        <v>5</v>
      </c>
      <c r="V15" s="1">
        <f t="shared" si="1"/>
        <v>42</v>
      </c>
      <c r="W15" s="4">
        <f>V15-V2</f>
        <v>6</v>
      </c>
    </row>
    <row r="16" spans="1:23" x14ac:dyDescent="0.35">
      <c r="A16" s="1" t="s">
        <v>4</v>
      </c>
      <c r="B16" s="2">
        <v>5</v>
      </c>
      <c r="C16" s="2">
        <v>3</v>
      </c>
      <c r="D16" s="2">
        <v>5</v>
      </c>
      <c r="E16" s="2">
        <v>5</v>
      </c>
      <c r="F16" s="10">
        <v>3</v>
      </c>
      <c r="G16" s="2">
        <v>6</v>
      </c>
      <c r="H16" s="2">
        <v>6</v>
      </c>
      <c r="I16" s="2">
        <v>6</v>
      </c>
      <c r="J16" s="2">
        <v>4</v>
      </c>
      <c r="K16" s="1">
        <f t="shared" si="0"/>
        <v>43</v>
      </c>
      <c r="L16" s="11"/>
      <c r="M16" s="10">
        <v>3</v>
      </c>
      <c r="N16" s="16">
        <v>4</v>
      </c>
      <c r="O16" s="2">
        <v>3</v>
      </c>
      <c r="P16" s="2">
        <v>4</v>
      </c>
      <c r="Q16" s="2">
        <v>6</v>
      </c>
      <c r="R16" s="13">
        <v>5</v>
      </c>
      <c r="S16" s="2">
        <v>3</v>
      </c>
      <c r="T16" s="16">
        <v>5</v>
      </c>
      <c r="U16" s="2">
        <v>6</v>
      </c>
      <c r="V16" s="1">
        <f t="shared" si="1"/>
        <v>39</v>
      </c>
      <c r="W16" s="4"/>
    </row>
    <row r="17" spans="1:23" x14ac:dyDescent="0.35">
      <c r="A17" s="2" t="s">
        <v>11</v>
      </c>
      <c r="B17" s="1">
        <f t="shared" ref="B17:J17" si="14">IF(B16&gt;B2*2,B2*2,B16)</f>
        <v>5</v>
      </c>
      <c r="C17" s="1">
        <f t="shared" si="14"/>
        <v>3</v>
      </c>
      <c r="D17" s="1">
        <f t="shared" si="14"/>
        <v>5</v>
      </c>
      <c r="E17" s="1">
        <f t="shared" si="14"/>
        <v>5</v>
      </c>
      <c r="F17" s="9">
        <f t="shared" si="14"/>
        <v>3</v>
      </c>
      <c r="G17" s="1">
        <f t="shared" si="14"/>
        <v>6</v>
      </c>
      <c r="H17" s="1">
        <f t="shared" si="14"/>
        <v>6</v>
      </c>
      <c r="I17" s="1">
        <f t="shared" si="14"/>
        <v>6</v>
      </c>
      <c r="J17" s="1">
        <f t="shared" si="14"/>
        <v>4</v>
      </c>
      <c r="K17" s="1">
        <f t="shared" si="0"/>
        <v>43</v>
      </c>
      <c r="L17" s="11">
        <f>K17-K2</f>
        <v>7</v>
      </c>
      <c r="M17" s="9">
        <f t="shared" ref="M17:U17" si="15">IF(M16&gt;M2*2,M2*2,M16)</f>
        <v>3</v>
      </c>
      <c r="N17" s="14">
        <f t="shared" si="15"/>
        <v>4</v>
      </c>
      <c r="O17" s="1">
        <f t="shared" si="15"/>
        <v>3</v>
      </c>
      <c r="P17" s="1">
        <f t="shared" si="15"/>
        <v>4</v>
      </c>
      <c r="Q17" s="1">
        <f t="shared" si="15"/>
        <v>6</v>
      </c>
      <c r="R17" s="11">
        <f t="shared" si="15"/>
        <v>5</v>
      </c>
      <c r="S17" s="1">
        <f t="shared" si="15"/>
        <v>3</v>
      </c>
      <c r="T17" s="14">
        <f t="shared" si="15"/>
        <v>5</v>
      </c>
      <c r="U17" s="1">
        <f t="shared" si="15"/>
        <v>6</v>
      </c>
      <c r="V17" s="1">
        <f t="shared" si="1"/>
        <v>39</v>
      </c>
      <c r="W17" s="4">
        <f>V17-V2</f>
        <v>3</v>
      </c>
    </row>
    <row r="18" spans="1:23" x14ac:dyDescent="0.35">
      <c r="A18" s="1" t="s">
        <v>8</v>
      </c>
      <c r="B18" s="2">
        <v>6</v>
      </c>
      <c r="C18" s="2">
        <v>5</v>
      </c>
      <c r="D18" s="2">
        <v>5</v>
      </c>
      <c r="E18" s="2">
        <v>8</v>
      </c>
      <c r="F18" s="10">
        <v>4</v>
      </c>
      <c r="G18" s="2">
        <v>5</v>
      </c>
      <c r="H18" s="2">
        <v>5</v>
      </c>
      <c r="I18" s="2">
        <v>6</v>
      </c>
      <c r="J18" s="2">
        <v>6</v>
      </c>
      <c r="K18" s="1">
        <f t="shared" si="0"/>
        <v>50</v>
      </c>
      <c r="L18" s="11"/>
      <c r="M18" s="10">
        <v>5</v>
      </c>
      <c r="N18" s="16">
        <v>4</v>
      </c>
      <c r="O18" s="2">
        <v>5</v>
      </c>
      <c r="P18" s="2">
        <v>7</v>
      </c>
      <c r="Q18" s="2">
        <v>5</v>
      </c>
      <c r="R18" s="13">
        <v>6</v>
      </c>
      <c r="S18" s="2">
        <v>4</v>
      </c>
      <c r="T18" s="16">
        <v>7</v>
      </c>
      <c r="U18" s="2">
        <v>6</v>
      </c>
      <c r="V18" s="1">
        <f t="shared" si="1"/>
        <v>49</v>
      </c>
      <c r="W18" s="4"/>
    </row>
    <row r="19" spans="1:23" x14ac:dyDescent="0.35">
      <c r="A19" s="2" t="s">
        <v>11</v>
      </c>
      <c r="B19" s="1">
        <f t="shared" ref="B19:J19" si="16">IF(B18&gt;B2*2,B2*2,B18)</f>
        <v>6</v>
      </c>
      <c r="C19" s="1">
        <f t="shared" si="16"/>
        <v>5</v>
      </c>
      <c r="D19" s="1">
        <f t="shared" si="16"/>
        <v>5</v>
      </c>
      <c r="E19" s="1">
        <f t="shared" si="16"/>
        <v>8</v>
      </c>
      <c r="F19" s="9">
        <f t="shared" si="16"/>
        <v>4</v>
      </c>
      <c r="G19" s="1">
        <f t="shared" si="16"/>
        <v>5</v>
      </c>
      <c r="H19" s="1">
        <f t="shared" si="16"/>
        <v>5</v>
      </c>
      <c r="I19" s="1">
        <f t="shared" si="16"/>
        <v>6</v>
      </c>
      <c r="J19" s="1">
        <f t="shared" si="16"/>
        <v>6</v>
      </c>
      <c r="K19" s="1">
        <f t="shared" si="0"/>
        <v>50</v>
      </c>
      <c r="L19" s="11">
        <f>K19-K2</f>
        <v>14</v>
      </c>
      <c r="M19" s="9">
        <f t="shared" ref="M19:U19" si="17">IF(M18&gt;M2*2,M2*2,M18)</f>
        <v>5</v>
      </c>
      <c r="N19" s="14">
        <f t="shared" si="17"/>
        <v>4</v>
      </c>
      <c r="O19" s="1">
        <f t="shared" si="17"/>
        <v>5</v>
      </c>
      <c r="P19" s="1">
        <f t="shared" si="17"/>
        <v>7</v>
      </c>
      <c r="Q19" s="1">
        <f t="shared" si="17"/>
        <v>5</v>
      </c>
      <c r="R19" s="11">
        <f t="shared" si="17"/>
        <v>6</v>
      </c>
      <c r="S19" s="1">
        <f t="shared" si="17"/>
        <v>4</v>
      </c>
      <c r="T19" s="14">
        <f t="shared" si="17"/>
        <v>7</v>
      </c>
      <c r="U19" s="1">
        <f t="shared" si="17"/>
        <v>6</v>
      </c>
      <c r="V19" s="1">
        <f t="shared" si="1"/>
        <v>49</v>
      </c>
      <c r="W19" s="4">
        <f>V19-V2</f>
        <v>13</v>
      </c>
    </row>
    <row r="20" spans="1:23" x14ac:dyDescent="0.35">
      <c r="C20" s="1" t="s">
        <v>105</v>
      </c>
      <c r="F20" s="34" t="s">
        <v>104</v>
      </c>
      <c r="M20" s="9" t="s">
        <v>69</v>
      </c>
      <c r="S20" s="1" t="s">
        <v>108</v>
      </c>
    </row>
    <row r="22" spans="1:23" x14ac:dyDescent="0.35">
      <c r="A22" s="45" t="s">
        <v>37</v>
      </c>
      <c r="B22" s="47"/>
      <c r="C22" s="46"/>
      <c r="D22" s="17"/>
      <c r="E22" s="17"/>
      <c r="F22" s="17"/>
      <c r="G22" s="17"/>
    </row>
    <row r="23" spans="1:23" x14ac:dyDescent="0.35">
      <c r="A23" s="1" t="s">
        <v>1</v>
      </c>
      <c r="B23" s="1" t="s">
        <v>12</v>
      </c>
      <c r="C23" s="1" t="s">
        <v>13</v>
      </c>
      <c r="D23" s="22"/>
      <c r="E23" s="22"/>
      <c r="F23" s="22"/>
      <c r="G23" s="22"/>
    </row>
    <row r="24" spans="1:23" x14ac:dyDescent="0.35">
      <c r="A24" s="1" t="s">
        <v>5</v>
      </c>
      <c r="B24" s="2" t="s">
        <v>40</v>
      </c>
      <c r="C24" s="2" t="s">
        <v>40</v>
      </c>
      <c r="D24" s="35"/>
      <c r="E24" s="35"/>
      <c r="F24" s="6"/>
      <c r="G24" s="6"/>
    </row>
    <row r="25" spans="1:23" x14ac:dyDescent="0.35">
      <c r="A25" s="1" t="s">
        <v>103</v>
      </c>
      <c r="B25" s="2" t="s">
        <v>40</v>
      </c>
      <c r="C25" s="2">
        <v>15.1</v>
      </c>
      <c r="D25" s="35"/>
      <c r="E25" s="35"/>
      <c r="F25" s="6"/>
      <c r="G25" s="6"/>
    </row>
    <row r="26" spans="1:23" x14ac:dyDescent="0.35">
      <c r="A26" s="1" t="s">
        <v>7</v>
      </c>
      <c r="B26" s="2" t="s">
        <v>40</v>
      </c>
      <c r="C26" s="2" t="s">
        <v>40</v>
      </c>
      <c r="D26" s="35"/>
      <c r="E26" s="35"/>
      <c r="F26" s="6"/>
      <c r="G26" s="6"/>
    </row>
    <row r="27" spans="1:23" x14ac:dyDescent="0.35">
      <c r="A27" s="1" t="s">
        <v>0</v>
      </c>
      <c r="B27" s="2" t="s">
        <v>40</v>
      </c>
      <c r="C27" s="2" t="s">
        <v>40</v>
      </c>
      <c r="D27" s="35"/>
      <c r="E27" s="35"/>
      <c r="F27" s="6"/>
      <c r="G27" s="6"/>
    </row>
    <row r="28" spans="1:23" x14ac:dyDescent="0.35">
      <c r="A28" s="1" t="s">
        <v>2</v>
      </c>
      <c r="B28" s="2" t="s">
        <v>40</v>
      </c>
      <c r="C28" s="2" t="s">
        <v>40</v>
      </c>
      <c r="D28" s="35"/>
      <c r="E28" s="35"/>
      <c r="F28" s="6"/>
      <c r="G28" s="6"/>
    </row>
    <row r="29" spans="1:23" x14ac:dyDescent="0.35">
      <c r="A29" s="1" t="s">
        <v>3</v>
      </c>
      <c r="B29" s="10">
        <v>11.8</v>
      </c>
      <c r="C29" s="21">
        <v>14.5</v>
      </c>
      <c r="D29" s="35"/>
      <c r="E29" s="35"/>
      <c r="F29" s="6"/>
      <c r="G29" s="6"/>
    </row>
    <row r="30" spans="1:23" x14ac:dyDescent="0.35">
      <c r="A30" s="1" t="s">
        <v>4</v>
      </c>
      <c r="B30" s="2">
        <v>18.8</v>
      </c>
      <c r="C30" s="2" t="s">
        <v>40</v>
      </c>
      <c r="D30" s="35"/>
      <c r="E30" s="35"/>
      <c r="F30" s="6"/>
      <c r="G30" s="6"/>
    </row>
    <row r="31" spans="1:23" x14ac:dyDescent="0.35">
      <c r="A31" s="1" t="s">
        <v>8</v>
      </c>
      <c r="B31" s="2" t="s">
        <v>40</v>
      </c>
      <c r="C31" s="2" t="s">
        <v>40</v>
      </c>
      <c r="D31" s="35"/>
      <c r="E31" s="35"/>
      <c r="F31" s="6"/>
      <c r="G31" s="6"/>
    </row>
  </sheetData>
  <mergeCells count="1">
    <mergeCell ref="A22:C2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4E9BE-5FA2-4935-BB19-2AFAFB8B0CD7}">
  <dimension ref="A1:T24"/>
  <sheetViews>
    <sheetView zoomScale="81" workbookViewId="0">
      <selection activeCell="M2" sqref="M2"/>
    </sheetView>
  </sheetViews>
  <sheetFormatPr defaultRowHeight="14.5" x14ac:dyDescent="0.35"/>
  <cols>
    <col min="4" max="4" width="9.7265625" customWidth="1"/>
    <col min="12" max="12" width="9.453125" bestFit="1" customWidth="1"/>
    <col min="18" max="18" width="10.1796875" bestFit="1" customWidth="1"/>
  </cols>
  <sheetData>
    <row r="1" spans="1:20" x14ac:dyDescent="0.35">
      <c r="A1" s="1" t="s">
        <v>1</v>
      </c>
      <c r="B1" s="1" t="s">
        <v>12</v>
      </c>
      <c r="C1" s="1" t="s">
        <v>13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51</v>
      </c>
      <c r="I1" s="1" t="s">
        <v>52</v>
      </c>
      <c r="J1" s="25" t="s">
        <v>54</v>
      </c>
      <c r="K1" s="24" t="s">
        <v>53</v>
      </c>
      <c r="L1" s="24" t="s">
        <v>56</v>
      </c>
      <c r="M1" s="22" t="s">
        <v>57</v>
      </c>
      <c r="N1" s="22" t="s">
        <v>55</v>
      </c>
    </row>
    <row r="2" spans="1:20" x14ac:dyDescent="0.35">
      <c r="A2" s="1" t="s">
        <v>5</v>
      </c>
      <c r="B2" s="2">
        <f>'Wk1and2 2026'!K4</f>
        <v>55</v>
      </c>
      <c r="C2" s="2">
        <f>'Wk1and2 2026'!V4</f>
        <v>57</v>
      </c>
      <c r="D2" s="2">
        <v>56</v>
      </c>
      <c r="E2" s="2">
        <v>58</v>
      </c>
      <c r="F2" s="2">
        <v>59</v>
      </c>
      <c r="G2" s="2">
        <v>64</v>
      </c>
      <c r="H2" s="2">
        <v>54</v>
      </c>
      <c r="I2" s="2">
        <v>57</v>
      </c>
      <c r="J2">
        <f>SUM(B2:I2)</f>
        <v>460</v>
      </c>
      <c r="K2" s="23">
        <v>8</v>
      </c>
      <c r="L2" s="26">
        <f>J2/K2</f>
        <v>57.5</v>
      </c>
      <c r="M2" s="27">
        <f>L2-E12</f>
        <v>21.5</v>
      </c>
      <c r="N2" s="2">
        <v>19</v>
      </c>
    </row>
    <row r="3" spans="1:20" x14ac:dyDescent="0.35">
      <c r="A3" s="1" t="s">
        <v>8</v>
      </c>
      <c r="B3" s="2">
        <f>'Wk1and2 2026'!K18</f>
        <v>50</v>
      </c>
      <c r="C3" s="2">
        <f>'Wk1and2 2026'!V18</f>
        <v>49</v>
      </c>
      <c r="D3" s="2">
        <v>63</v>
      </c>
      <c r="E3" s="2">
        <v>54</v>
      </c>
      <c r="F3" s="2">
        <v>61</v>
      </c>
      <c r="G3" s="2">
        <v>56</v>
      </c>
      <c r="H3" s="2">
        <v>54</v>
      </c>
      <c r="I3" s="2">
        <v>61</v>
      </c>
      <c r="J3">
        <f t="shared" ref="J3:J9" si="0">SUM(B3:I3)</f>
        <v>448</v>
      </c>
      <c r="K3" s="23">
        <v>8</v>
      </c>
      <c r="L3" s="26">
        <f>J3/K3</f>
        <v>56</v>
      </c>
      <c r="M3" s="27">
        <f>L3-E12</f>
        <v>20</v>
      </c>
      <c r="N3" s="2">
        <v>13.5</v>
      </c>
    </row>
    <row r="4" spans="1:20" x14ac:dyDescent="0.35">
      <c r="A4" s="1" t="s">
        <v>0</v>
      </c>
      <c r="B4" s="2">
        <f>'Wk1and2 2026'!K10</f>
        <v>50</v>
      </c>
      <c r="C4" s="2">
        <f>'Wk1and2 2026'!V10</f>
        <v>48</v>
      </c>
      <c r="D4" s="2">
        <v>45</v>
      </c>
      <c r="E4" s="2">
        <v>63</v>
      </c>
      <c r="F4" s="2">
        <v>57</v>
      </c>
      <c r="G4" s="2">
        <v>62</v>
      </c>
      <c r="H4" s="2">
        <v>51</v>
      </c>
      <c r="I4" s="2">
        <v>55</v>
      </c>
      <c r="J4">
        <f t="shared" si="0"/>
        <v>431</v>
      </c>
      <c r="K4" s="23">
        <v>8</v>
      </c>
      <c r="L4" s="26">
        <f t="shared" ref="L4:L8" si="1">J4/K4</f>
        <v>53.875</v>
      </c>
      <c r="M4" s="27">
        <f>L4-E12</f>
        <v>17.875</v>
      </c>
      <c r="N4" s="2">
        <v>13</v>
      </c>
    </row>
    <row r="5" spans="1:20" x14ac:dyDescent="0.35">
      <c r="A5" s="1" t="s">
        <v>2</v>
      </c>
      <c r="B5" s="2">
        <f>'Wk1and2 2026'!K12</f>
        <v>43</v>
      </c>
      <c r="C5" s="2">
        <f>'Wk1and2 2026'!V12</f>
        <v>42</v>
      </c>
      <c r="D5" s="2">
        <v>43</v>
      </c>
      <c r="E5" s="2">
        <v>41</v>
      </c>
      <c r="F5" s="2">
        <v>38</v>
      </c>
      <c r="G5" s="2">
        <v>42</v>
      </c>
      <c r="H5" s="2">
        <v>41</v>
      </c>
      <c r="I5" s="2">
        <v>43</v>
      </c>
      <c r="J5">
        <f t="shared" si="0"/>
        <v>333</v>
      </c>
      <c r="K5" s="6">
        <v>8</v>
      </c>
      <c r="L5" s="26">
        <f t="shared" si="1"/>
        <v>41.625</v>
      </c>
      <c r="M5" s="27">
        <f>L5-E12</f>
        <v>5.625</v>
      </c>
      <c r="N5" s="2">
        <v>6.5</v>
      </c>
    </row>
    <row r="6" spans="1:20" x14ac:dyDescent="0.35">
      <c r="A6" s="1" t="s">
        <v>103</v>
      </c>
      <c r="B6" s="2">
        <f>'Wk1and2 2026'!K6</f>
        <v>44</v>
      </c>
      <c r="C6" s="2">
        <f>'Wk1and2 2026'!V6</f>
        <v>40</v>
      </c>
      <c r="D6" s="2">
        <v>44</v>
      </c>
      <c r="E6" s="2">
        <v>43</v>
      </c>
      <c r="F6" s="2">
        <v>44</v>
      </c>
      <c r="G6" s="2">
        <v>45</v>
      </c>
      <c r="H6" s="2">
        <v>47</v>
      </c>
      <c r="I6" s="2">
        <v>48</v>
      </c>
      <c r="J6">
        <f t="shared" si="0"/>
        <v>355</v>
      </c>
      <c r="K6" s="6">
        <v>8</v>
      </c>
      <c r="L6" s="26">
        <f t="shared" si="1"/>
        <v>44.375</v>
      </c>
      <c r="M6" s="27">
        <f>L6-E12</f>
        <v>8.375</v>
      </c>
      <c r="N6" s="2">
        <v>6</v>
      </c>
    </row>
    <row r="7" spans="1:20" x14ac:dyDescent="0.35">
      <c r="A7" s="1" t="s">
        <v>3</v>
      </c>
      <c r="B7" s="2">
        <f>'Wk1and2 2026'!K14</f>
        <v>41</v>
      </c>
      <c r="C7" s="2">
        <f>'Wk1and2 2026'!V14</f>
        <v>42</v>
      </c>
      <c r="D7" s="2">
        <v>45</v>
      </c>
      <c r="E7" s="2">
        <v>41</v>
      </c>
      <c r="F7" s="2">
        <v>45</v>
      </c>
      <c r="G7" s="2">
        <v>43</v>
      </c>
      <c r="H7" s="2">
        <v>44</v>
      </c>
      <c r="I7" s="2">
        <v>41</v>
      </c>
      <c r="J7">
        <f t="shared" si="0"/>
        <v>342</v>
      </c>
      <c r="K7" s="6">
        <v>8</v>
      </c>
      <c r="L7" s="26">
        <f t="shared" si="1"/>
        <v>42.75</v>
      </c>
      <c r="M7" s="27">
        <f>L7-E12</f>
        <v>6.75</v>
      </c>
      <c r="N7" s="2">
        <v>5.5</v>
      </c>
    </row>
    <row r="8" spans="1:20" x14ac:dyDescent="0.35">
      <c r="A8" s="1" t="s">
        <v>4</v>
      </c>
      <c r="B8" s="2">
        <f>'Wk1and2 2026'!K16</f>
        <v>43</v>
      </c>
      <c r="C8" s="2">
        <f>'Wk1and2 2026'!V16</f>
        <v>39</v>
      </c>
      <c r="D8" s="2">
        <v>43</v>
      </c>
      <c r="E8" s="2">
        <v>45</v>
      </c>
      <c r="F8" s="2">
        <v>51</v>
      </c>
      <c r="G8" s="2">
        <v>48</v>
      </c>
      <c r="H8" s="2">
        <v>39</v>
      </c>
      <c r="I8" s="2">
        <v>39</v>
      </c>
      <c r="J8">
        <f t="shared" si="0"/>
        <v>347</v>
      </c>
      <c r="K8" s="6">
        <v>8</v>
      </c>
      <c r="L8" s="26">
        <f t="shared" si="1"/>
        <v>43.375</v>
      </c>
      <c r="M8" s="27">
        <f>L8-E12</f>
        <v>7.375</v>
      </c>
      <c r="N8" s="2">
        <v>5</v>
      </c>
    </row>
    <row r="9" spans="1:20" x14ac:dyDescent="0.35">
      <c r="A9" s="1" t="s">
        <v>7</v>
      </c>
      <c r="B9" s="2">
        <f>'Wk1and2 2026'!K8</f>
        <v>40</v>
      </c>
      <c r="C9" s="2">
        <f>'Wk1and2 2026'!V8</f>
        <v>40</v>
      </c>
      <c r="D9" s="2">
        <v>40</v>
      </c>
      <c r="E9" s="2">
        <v>40</v>
      </c>
      <c r="F9" s="2">
        <v>0</v>
      </c>
      <c r="G9" s="2">
        <v>0</v>
      </c>
      <c r="H9" s="2">
        <v>0</v>
      </c>
      <c r="I9" s="2">
        <v>0</v>
      </c>
      <c r="J9">
        <f t="shared" si="0"/>
        <v>160</v>
      </c>
      <c r="K9" s="6">
        <v>4</v>
      </c>
      <c r="L9" s="26">
        <f>J9/K9</f>
        <v>40</v>
      </c>
      <c r="M9" s="27">
        <f>L9-E12</f>
        <v>4</v>
      </c>
      <c r="N9" s="2">
        <v>4</v>
      </c>
    </row>
    <row r="12" spans="1:20" x14ac:dyDescent="0.35">
      <c r="D12" t="s">
        <v>58</v>
      </c>
      <c r="E12" s="26">
        <v>36</v>
      </c>
    </row>
    <row r="14" spans="1:20" x14ac:dyDescent="0.35">
      <c r="A14" s="1" t="s">
        <v>1</v>
      </c>
      <c r="B14" s="1" t="s">
        <v>12</v>
      </c>
      <c r="C14" s="1" t="s">
        <v>13</v>
      </c>
      <c r="D14" s="1" t="s">
        <v>23</v>
      </c>
      <c r="E14" s="1" t="s">
        <v>24</v>
      </c>
      <c r="F14" s="1" t="s">
        <v>25</v>
      </c>
      <c r="G14" s="1" t="s">
        <v>26</v>
      </c>
      <c r="H14" s="1" t="s">
        <v>51</v>
      </c>
      <c r="I14" s="1" t="s">
        <v>52</v>
      </c>
      <c r="J14" s="1" t="s">
        <v>77</v>
      </c>
      <c r="K14" s="1" t="s">
        <v>78</v>
      </c>
      <c r="L14" s="1" t="s">
        <v>79</v>
      </c>
      <c r="M14" s="1" t="s">
        <v>80</v>
      </c>
      <c r="N14" s="1" t="s">
        <v>81</v>
      </c>
      <c r="O14" s="1" t="s">
        <v>82</v>
      </c>
      <c r="P14" s="25" t="s">
        <v>54</v>
      </c>
      <c r="Q14" s="25" t="s">
        <v>53</v>
      </c>
      <c r="R14" s="25" t="s">
        <v>83</v>
      </c>
      <c r="S14" s="25" t="s">
        <v>57</v>
      </c>
      <c r="T14" s="25" t="s">
        <v>55</v>
      </c>
    </row>
    <row r="15" spans="1:20" x14ac:dyDescent="0.35">
      <c r="A15" s="1" t="s">
        <v>5</v>
      </c>
      <c r="B15" s="2">
        <v>55</v>
      </c>
      <c r="C15" s="2">
        <v>57</v>
      </c>
      <c r="D15" s="2">
        <v>56</v>
      </c>
      <c r="E15" s="2">
        <v>58</v>
      </c>
      <c r="F15" s="2">
        <v>59</v>
      </c>
      <c r="G15" s="2">
        <v>64</v>
      </c>
      <c r="H15" s="2">
        <v>54</v>
      </c>
      <c r="I15" s="2">
        <v>57</v>
      </c>
      <c r="J15" s="2">
        <v>60</v>
      </c>
      <c r="K15" s="2">
        <v>57</v>
      </c>
      <c r="L15" s="2">
        <v>56</v>
      </c>
      <c r="M15" s="2">
        <v>54</v>
      </c>
      <c r="N15" s="2">
        <v>58</v>
      </c>
      <c r="O15" s="2">
        <v>41</v>
      </c>
      <c r="P15">
        <f>SUM(B15:O15)</f>
        <v>786</v>
      </c>
      <c r="Q15" s="23">
        <v>14</v>
      </c>
      <c r="R15" s="26">
        <f>P15/Q15</f>
        <v>56.142857142857146</v>
      </c>
      <c r="S15" s="27">
        <v>21</v>
      </c>
      <c r="T15" s="33">
        <v>22</v>
      </c>
    </row>
    <row r="16" spans="1:20" x14ac:dyDescent="0.35">
      <c r="A16" s="1" t="s">
        <v>8</v>
      </c>
      <c r="B16" s="2">
        <v>50</v>
      </c>
      <c r="C16" s="2">
        <v>49</v>
      </c>
      <c r="D16" s="2">
        <v>63</v>
      </c>
      <c r="E16" s="2">
        <v>54</v>
      </c>
      <c r="F16" s="2">
        <v>61</v>
      </c>
      <c r="G16" s="2">
        <v>56</v>
      </c>
      <c r="H16" s="2">
        <v>54</v>
      </c>
      <c r="I16" s="2">
        <v>61</v>
      </c>
      <c r="J16" s="2">
        <v>55</v>
      </c>
      <c r="K16" s="2">
        <v>57</v>
      </c>
      <c r="L16" s="2">
        <v>55</v>
      </c>
      <c r="M16" s="2">
        <v>56</v>
      </c>
      <c r="N16" s="2">
        <v>51</v>
      </c>
      <c r="O16" s="2">
        <v>49</v>
      </c>
      <c r="P16">
        <f t="shared" ref="P16:P22" si="2">SUM(B16:O16)</f>
        <v>771</v>
      </c>
      <c r="Q16" s="23">
        <v>14</v>
      </c>
      <c r="R16" s="26">
        <f>P16/Q16</f>
        <v>55.071428571428569</v>
      </c>
      <c r="S16" s="27">
        <v>20</v>
      </c>
      <c r="T16" s="33">
        <v>20</v>
      </c>
    </row>
    <row r="17" spans="1:20" x14ac:dyDescent="0.35">
      <c r="A17" s="1" t="s">
        <v>0</v>
      </c>
      <c r="B17" s="2">
        <v>50</v>
      </c>
      <c r="C17" s="2">
        <v>48</v>
      </c>
      <c r="D17" s="2">
        <v>45</v>
      </c>
      <c r="E17" s="2">
        <v>63</v>
      </c>
      <c r="F17" s="2">
        <v>57</v>
      </c>
      <c r="G17" s="2">
        <v>62</v>
      </c>
      <c r="H17" s="2">
        <v>51</v>
      </c>
      <c r="I17" s="2">
        <v>55</v>
      </c>
      <c r="J17" s="2">
        <v>50</v>
      </c>
      <c r="K17" s="2">
        <v>58</v>
      </c>
      <c r="L17" s="2">
        <v>57</v>
      </c>
      <c r="M17" s="2">
        <v>59</v>
      </c>
      <c r="N17" s="2">
        <v>55</v>
      </c>
      <c r="O17" s="2">
        <v>44</v>
      </c>
      <c r="P17">
        <f t="shared" si="2"/>
        <v>754</v>
      </c>
      <c r="Q17" s="23">
        <v>14</v>
      </c>
      <c r="R17" s="26">
        <f>P17/Q17</f>
        <v>53.857142857142854</v>
      </c>
      <c r="S17" s="27">
        <v>18</v>
      </c>
      <c r="T17" s="33">
        <v>18</v>
      </c>
    </row>
    <row r="18" spans="1:20" x14ac:dyDescent="0.35">
      <c r="A18" s="1" t="s">
        <v>2</v>
      </c>
      <c r="B18" s="2">
        <v>43</v>
      </c>
      <c r="C18" s="2">
        <v>42</v>
      </c>
      <c r="D18" s="2">
        <v>43</v>
      </c>
      <c r="E18" s="2">
        <v>41</v>
      </c>
      <c r="F18" s="2">
        <v>38</v>
      </c>
      <c r="G18" s="2">
        <v>42</v>
      </c>
      <c r="H18" s="2">
        <v>41</v>
      </c>
      <c r="I18" s="2">
        <v>43</v>
      </c>
      <c r="J18" s="2">
        <v>42</v>
      </c>
      <c r="K18" s="2">
        <v>39</v>
      </c>
      <c r="L18" s="2">
        <v>43</v>
      </c>
      <c r="M18" s="2">
        <v>36</v>
      </c>
      <c r="N18" s="2">
        <v>40</v>
      </c>
      <c r="O18" s="2">
        <v>39</v>
      </c>
      <c r="P18">
        <f t="shared" si="2"/>
        <v>572</v>
      </c>
      <c r="Q18" s="6">
        <v>14</v>
      </c>
      <c r="R18" s="26">
        <f>P18/Q18</f>
        <v>40.857142857142854</v>
      </c>
      <c r="S18" s="27">
        <v>5</v>
      </c>
      <c r="T18" s="33">
        <v>6</v>
      </c>
    </row>
    <row r="19" spans="1:20" x14ac:dyDescent="0.35">
      <c r="A19" s="1" t="s">
        <v>103</v>
      </c>
      <c r="B19" s="2">
        <v>44</v>
      </c>
      <c r="C19" s="2">
        <v>40</v>
      </c>
      <c r="D19" s="2">
        <v>44</v>
      </c>
      <c r="E19" s="2">
        <v>43</v>
      </c>
      <c r="F19" s="2">
        <v>44</v>
      </c>
      <c r="G19" s="2">
        <v>45</v>
      </c>
      <c r="H19" s="2">
        <v>47</v>
      </c>
      <c r="I19" s="2">
        <v>48</v>
      </c>
      <c r="J19" s="2">
        <v>43</v>
      </c>
      <c r="K19" s="2">
        <v>48</v>
      </c>
      <c r="L19" s="2">
        <v>38</v>
      </c>
      <c r="M19" s="2">
        <v>41</v>
      </c>
      <c r="N19" s="2">
        <v>40</v>
      </c>
      <c r="O19" s="2">
        <v>37</v>
      </c>
      <c r="P19">
        <f t="shared" si="2"/>
        <v>602</v>
      </c>
      <c r="Q19" s="6">
        <v>14</v>
      </c>
      <c r="R19" s="26">
        <f>P19/Q19</f>
        <v>43</v>
      </c>
      <c r="S19" s="27">
        <v>7</v>
      </c>
      <c r="T19" s="33">
        <v>8</v>
      </c>
    </row>
    <row r="20" spans="1:20" x14ac:dyDescent="0.35">
      <c r="A20" s="1" t="s">
        <v>3</v>
      </c>
      <c r="B20" s="2">
        <v>41</v>
      </c>
      <c r="C20" s="2">
        <v>42</v>
      </c>
      <c r="D20" s="2">
        <v>45</v>
      </c>
      <c r="E20" s="2">
        <v>41</v>
      </c>
      <c r="F20" s="2">
        <v>45</v>
      </c>
      <c r="G20" s="2">
        <v>43</v>
      </c>
      <c r="H20" s="2">
        <v>44</v>
      </c>
      <c r="I20" s="2">
        <v>41</v>
      </c>
      <c r="J20" s="2">
        <v>46</v>
      </c>
      <c r="K20" s="2">
        <v>41</v>
      </c>
      <c r="L20" s="2">
        <v>39</v>
      </c>
      <c r="M20" s="2">
        <v>44</v>
      </c>
      <c r="N20" s="2">
        <v>41</v>
      </c>
      <c r="O20" s="2">
        <v>43</v>
      </c>
      <c r="P20">
        <f t="shared" si="2"/>
        <v>596</v>
      </c>
      <c r="Q20" s="6">
        <v>14</v>
      </c>
      <c r="R20" s="26">
        <f>P20/Q20</f>
        <v>42.571428571428569</v>
      </c>
      <c r="S20" s="27">
        <v>7</v>
      </c>
      <c r="T20" s="33">
        <v>7</v>
      </c>
    </row>
    <row r="21" spans="1:20" x14ac:dyDescent="0.35">
      <c r="A21" s="1" t="s">
        <v>4</v>
      </c>
      <c r="B21" s="2">
        <v>43</v>
      </c>
      <c r="C21" s="2">
        <v>39</v>
      </c>
      <c r="D21" s="2">
        <v>43</v>
      </c>
      <c r="E21" s="2">
        <v>45</v>
      </c>
      <c r="F21" s="2">
        <v>51</v>
      </c>
      <c r="G21" s="2">
        <v>48</v>
      </c>
      <c r="H21" s="2">
        <v>39</v>
      </c>
      <c r="I21" s="2">
        <v>39</v>
      </c>
      <c r="J21" s="2">
        <v>43</v>
      </c>
      <c r="K21" s="2">
        <v>46</v>
      </c>
      <c r="L21" s="2">
        <v>44</v>
      </c>
      <c r="M21" s="2">
        <v>38</v>
      </c>
      <c r="N21" s="2">
        <v>44</v>
      </c>
      <c r="O21" s="2">
        <v>37</v>
      </c>
      <c r="P21">
        <f t="shared" si="2"/>
        <v>599</v>
      </c>
      <c r="Q21" s="6">
        <v>14</v>
      </c>
      <c r="R21" s="26">
        <f>P21/Q21</f>
        <v>42.785714285714285</v>
      </c>
      <c r="S21" s="27">
        <v>7</v>
      </c>
      <c r="T21" s="33">
        <v>7</v>
      </c>
    </row>
    <row r="22" spans="1:20" x14ac:dyDescent="0.35">
      <c r="A22" s="1" t="s">
        <v>7</v>
      </c>
      <c r="B22" s="2">
        <v>40</v>
      </c>
      <c r="C22" s="2">
        <v>40</v>
      </c>
      <c r="D22" s="2">
        <v>40</v>
      </c>
      <c r="E22" s="2">
        <v>40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42</v>
      </c>
      <c r="O22" s="2">
        <v>0</v>
      </c>
      <c r="P22">
        <f t="shared" si="2"/>
        <v>202</v>
      </c>
      <c r="Q22" s="6">
        <v>5</v>
      </c>
      <c r="R22" s="26">
        <f>P22/Q22</f>
        <v>40.4</v>
      </c>
      <c r="S22" s="27">
        <v>5</v>
      </c>
      <c r="T22" s="33">
        <v>4</v>
      </c>
    </row>
    <row r="24" spans="1:20" x14ac:dyDescent="0.35">
      <c r="D24" t="s">
        <v>58</v>
      </c>
      <c r="E24" s="26">
        <v>35.6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43DA2-D64F-4C1C-83CD-5E42F548247A}">
  <dimension ref="A2:D11"/>
  <sheetViews>
    <sheetView zoomScale="184" workbookViewId="0">
      <selection activeCell="D9" sqref="D9"/>
    </sheetView>
  </sheetViews>
  <sheetFormatPr defaultRowHeight="14.5" x14ac:dyDescent="0.35"/>
  <cols>
    <col min="2" max="2" width="9.1796875" bestFit="1" customWidth="1"/>
    <col min="3" max="3" width="10.453125" bestFit="1" customWidth="1"/>
    <col min="4" max="4" width="5.453125" bestFit="1" customWidth="1"/>
  </cols>
  <sheetData>
    <row r="2" spans="1:4" x14ac:dyDescent="0.35">
      <c r="A2" s="1" t="s">
        <v>1</v>
      </c>
      <c r="B2" s="1" t="s">
        <v>112</v>
      </c>
      <c r="C2" s="1" t="s">
        <v>37</v>
      </c>
      <c r="D2" s="1" t="s">
        <v>9</v>
      </c>
    </row>
    <row r="3" spans="1:4" x14ac:dyDescent="0.35">
      <c r="A3" s="1" t="s">
        <v>5</v>
      </c>
      <c r="B3" s="36"/>
      <c r="C3" s="36"/>
      <c r="D3" s="43">
        <f>SUM(B3:C3)</f>
        <v>0</v>
      </c>
    </row>
    <row r="4" spans="1:4" x14ac:dyDescent="0.35">
      <c r="A4" s="1" t="s">
        <v>7</v>
      </c>
      <c r="B4" s="50"/>
      <c r="C4" s="50">
        <v>80</v>
      </c>
      <c r="D4" s="43">
        <f>SUM(B4:C4)</f>
        <v>80</v>
      </c>
    </row>
    <row r="5" spans="1:4" x14ac:dyDescent="0.35">
      <c r="A5" s="1" t="s">
        <v>0</v>
      </c>
      <c r="B5" s="50"/>
      <c r="C5" s="50"/>
      <c r="D5" s="43">
        <f>SUM(B5:C5)</f>
        <v>0</v>
      </c>
    </row>
    <row r="6" spans="1:4" x14ac:dyDescent="0.35">
      <c r="A6" s="1" t="s">
        <v>2</v>
      </c>
      <c r="B6" s="50">
        <v>400</v>
      </c>
      <c r="C6" s="50">
        <v>160</v>
      </c>
      <c r="D6" s="43">
        <f>SUM(B6:C6)</f>
        <v>560</v>
      </c>
    </row>
    <row r="7" spans="1:4" x14ac:dyDescent="0.35">
      <c r="A7" s="1" t="s">
        <v>3</v>
      </c>
      <c r="B7" s="50">
        <v>100</v>
      </c>
      <c r="C7" s="50">
        <v>40</v>
      </c>
      <c r="D7" s="43">
        <f>SUM(B7:C7)</f>
        <v>140</v>
      </c>
    </row>
    <row r="8" spans="1:4" x14ac:dyDescent="0.35">
      <c r="A8" s="1" t="s">
        <v>4</v>
      </c>
      <c r="B8" s="50">
        <v>50</v>
      </c>
      <c r="C8" s="50">
        <v>60</v>
      </c>
      <c r="D8" s="43">
        <f>SUM(B8:C8)</f>
        <v>110</v>
      </c>
    </row>
    <row r="9" spans="1:4" x14ac:dyDescent="0.35">
      <c r="A9" s="1" t="s">
        <v>8</v>
      </c>
      <c r="B9" s="50">
        <v>200</v>
      </c>
      <c r="C9" s="50"/>
      <c r="D9" s="43">
        <f>SUM(B9:C9)</f>
        <v>200</v>
      </c>
    </row>
    <row r="10" spans="1:4" x14ac:dyDescent="0.35">
      <c r="A10" s="1" t="s">
        <v>6</v>
      </c>
      <c r="B10" s="50"/>
      <c r="C10" s="50">
        <v>20</v>
      </c>
      <c r="D10" s="43">
        <f>SUM(B10:C10)</f>
        <v>20</v>
      </c>
    </row>
    <row r="11" spans="1:4" x14ac:dyDescent="0.35">
      <c r="D11" s="37">
        <f>SUM(D3:D10)</f>
        <v>1110</v>
      </c>
    </row>
  </sheetData>
  <pageMargins left="0.7" right="0.7" top="0.75" bottom="0.75" header="0.3" footer="0.3"/>
  <pageSetup paperSize="0" orientation="portrait" horizontalDpi="0" verticalDpi="0" copies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43"/>
  <sheetViews>
    <sheetView topLeftCell="I7" zoomScale="70" zoomScaleNormal="70" workbookViewId="0">
      <selection activeCell="B5" sqref="B5"/>
    </sheetView>
  </sheetViews>
  <sheetFormatPr defaultRowHeight="14.5" x14ac:dyDescent="0.35"/>
  <cols>
    <col min="1" max="1" width="10.7265625" bestFit="1" customWidth="1"/>
    <col min="2" max="2" width="11.36328125" bestFit="1" customWidth="1"/>
  </cols>
  <sheetData>
    <row r="1" spans="1:35" x14ac:dyDescent="0.35">
      <c r="A1" s="19" t="s">
        <v>1</v>
      </c>
      <c r="B1" t="s">
        <v>43</v>
      </c>
    </row>
    <row r="2" spans="1:35" x14ac:dyDescent="0.35">
      <c r="A2" s="20" t="s">
        <v>3</v>
      </c>
      <c r="B2">
        <v>96</v>
      </c>
    </row>
    <row r="3" spans="1:35" x14ac:dyDescent="0.35">
      <c r="A3" s="20" t="s">
        <v>8</v>
      </c>
      <c r="B3">
        <v>94.5</v>
      </c>
    </row>
    <row r="4" spans="1:35" x14ac:dyDescent="0.35">
      <c r="A4" s="20" t="s">
        <v>4</v>
      </c>
      <c r="B4">
        <v>94</v>
      </c>
    </row>
    <row r="5" spans="1:35" x14ac:dyDescent="0.35">
      <c r="A5" s="20" t="s">
        <v>2</v>
      </c>
      <c r="B5">
        <v>90.5</v>
      </c>
    </row>
    <row r="6" spans="1:35" x14ac:dyDescent="0.35">
      <c r="A6" s="20" t="s">
        <v>5</v>
      </c>
      <c r="B6">
        <v>76</v>
      </c>
    </row>
    <row r="7" spans="1:35" x14ac:dyDescent="0.35">
      <c r="A7" s="20" t="s">
        <v>0</v>
      </c>
      <c r="B7">
        <v>70</v>
      </c>
    </row>
    <row r="8" spans="1:35" x14ac:dyDescent="0.35">
      <c r="A8" s="20" t="s">
        <v>6</v>
      </c>
      <c r="B8">
        <v>62</v>
      </c>
    </row>
    <row r="9" spans="1:35" x14ac:dyDescent="0.35">
      <c r="A9" s="20" t="s">
        <v>7</v>
      </c>
      <c r="B9">
        <v>59</v>
      </c>
    </row>
    <row r="10" spans="1:35" x14ac:dyDescent="0.35">
      <c r="A10" s="20" t="s">
        <v>42</v>
      </c>
      <c r="B10">
        <v>642</v>
      </c>
    </row>
    <row r="12" spans="1:35" x14ac:dyDescent="0.35">
      <c r="A12" s="44" t="s">
        <v>19</v>
      </c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P12" s="44" t="s">
        <v>37</v>
      </c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</row>
    <row r="13" spans="1:35" x14ac:dyDescent="0.35">
      <c r="A13" s="1" t="s">
        <v>1</v>
      </c>
      <c r="B13" s="1" t="s">
        <v>12</v>
      </c>
      <c r="C13" s="1" t="s">
        <v>27</v>
      </c>
      <c r="D13" s="1" t="s">
        <v>13</v>
      </c>
      <c r="E13" s="1" t="s">
        <v>27</v>
      </c>
      <c r="F13" s="1" t="s">
        <v>23</v>
      </c>
      <c r="G13" s="1" t="s">
        <v>27</v>
      </c>
      <c r="H13" s="1" t="s">
        <v>24</v>
      </c>
      <c r="I13" s="1" t="s">
        <v>27</v>
      </c>
      <c r="J13" s="1" t="s">
        <v>25</v>
      </c>
      <c r="K13" s="1" t="s">
        <v>27</v>
      </c>
      <c r="L13" s="1" t="s">
        <v>26</v>
      </c>
      <c r="M13" s="1" t="s">
        <v>27</v>
      </c>
      <c r="N13" s="1" t="s">
        <v>9</v>
      </c>
      <c r="P13" s="1" t="s">
        <v>1</v>
      </c>
      <c r="Q13" s="1" t="s">
        <v>9</v>
      </c>
      <c r="R13" s="1" t="s">
        <v>12</v>
      </c>
      <c r="S13" s="1" t="s">
        <v>13</v>
      </c>
      <c r="T13" s="1" t="s">
        <v>23</v>
      </c>
      <c r="U13" s="1" t="s">
        <v>24</v>
      </c>
      <c r="V13" s="1" t="s">
        <v>25</v>
      </c>
      <c r="W13" s="1" t="s">
        <v>26</v>
      </c>
      <c r="X13" s="1" t="s">
        <v>51</v>
      </c>
      <c r="Y13" s="1" t="s">
        <v>52</v>
      </c>
      <c r="Z13" s="1" t="s">
        <v>77</v>
      </c>
      <c r="AA13" s="1" t="s">
        <v>78</v>
      </c>
      <c r="AB13" s="1" t="s">
        <v>79</v>
      </c>
      <c r="AC13" s="1" t="s">
        <v>80</v>
      </c>
      <c r="AD13" s="1" t="s">
        <v>81</v>
      </c>
      <c r="AE13" s="1" t="s">
        <v>82</v>
      </c>
      <c r="AF13" s="1" t="s">
        <v>90</v>
      </c>
      <c r="AG13" s="1" t="s">
        <v>91</v>
      </c>
      <c r="AH13" s="1" t="s">
        <v>92</v>
      </c>
      <c r="AI13" s="1" t="s">
        <v>93</v>
      </c>
    </row>
    <row r="14" spans="1:35" x14ac:dyDescent="0.35">
      <c r="A14" s="1" t="s">
        <v>5</v>
      </c>
      <c r="B14" s="2">
        <v>38.5</v>
      </c>
      <c r="C14" s="2">
        <v>3</v>
      </c>
      <c r="D14" s="3">
        <v>-25.5</v>
      </c>
      <c r="E14" s="3">
        <v>1</v>
      </c>
      <c r="F14" s="2">
        <v>-25.5</v>
      </c>
      <c r="G14" s="2">
        <v>1</v>
      </c>
      <c r="H14" s="2">
        <v>34.5</v>
      </c>
      <c r="I14" s="2">
        <v>6</v>
      </c>
      <c r="J14" s="2">
        <v>27.5</v>
      </c>
      <c r="K14" s="2">
        <v>8</v>
      </c>
      <c r="L14" s="2">
        <v>30.5</v>
      </c>
      <c r="M14" s="2">
        <v>7</v>
      </c>
      <c r="N14" s="18">
        <v>26</v>
      </c>
      <c r="P14" s="1" t="s">
        <v>5</v>
      </c>
      <c r="Q14" s="1">
        <v>0</v>
      </c>
      <c r="R14" s="2" t="s">
        <v>40</v>
      </c>
      <c r="S14" s="2" t="s">
        <v>40</v>
      </c>
      <c r="T14" s="3" t="s">
        <v>40</v>
      </c>
      <c r="U14" s="3" t="s">
        <v>40</v>
      </c>
      <c r="V14" s="2" t="s">
        <v>40</v>
      </c>
      <c r="W14" s="2" t="s">
        <v>40</v>
      </c>
      <c r="X14" s="2" t="s">
        <v>40</v>
      </c>
      <c r="Y14" s="2" t="s">
        <v>40</v>
      </c>
      <c r="Z14" s="3" t="s">
        <v>40</v>
      </c>
      <c r="AA14" s="3" t="s">
        <v>40</v>
      </c>
      <c r="AB14" s="2" t="s">
        <v>40</v>
      </c>
      <c r="AC14" s="2" t="s">
        <v>40</v>
      </c>
      <c r="AD14" s="2"/>
      <c r="AE14" s="2"/>
      <c r="AF14" s="3" t="s">
        <v>40</v>
      </c>
      <c r="AG14" s="3"/>
      <c r="AH14" s="2" t="s">
        <v>40</v>
      </c>
      <c r="AI14" s="2" t="s">
        <v>40</v>
      </c>
    </row>
    <row r="15" spans="1:35" x14ac:dyDescent="0.35">
      <c r="A15" s="1" t="s">
        <v>6</v>
      </c>
      <c r="B15" s="2">
        <v>32.5</v>
      </c>
      <c r="C15" s="2">
        <v>6</v>
      </c>
      <c r="D15" s="3">
        <v>41.5</v>
      </c>
      <c r="E15" s="3">
        <v>2</v>
      </c>
      <c r="F15" s="2">
        <v>38.5</v>
      </c>
      <c r="G15" s="2">
        <v>2</v>
      </c>
      <c r="H15" s="2">
        <v>-10.5</v>
      </c>
      <c r="I15" s="2">
        <v>1</v>
      </c>
      <c r="J15" s="2">
        <v>47.5</v>
      </c>
      <c r="K15" s="2">
        <v>3</v>
      </c>
      <c r="L15" s="2">
        <v>-10.5</v>
      </c>
      <c r="M15" s="2">
        <v>1</v>
      </c>
      <c r="N15" s="18">
        <v>15</v>
      </c>
      <c r="P15" s="1" t="s">
        <v>6</v>
      </c>
      <c r="Q15" s="1">
        <v>1</v>
      </c>
      <c r="R15" s="10">
        <v>6.5</v>
      </c>
      <c r="S15" s="2" t="s">
        <v>40</v>
      </c>
      <c r="T15" s="3" t="s">
        <v>40</v>
      </c>
      <c r="U15" s="3" t="s">
        <v>40</v>
      </c>
      <c r="V15" s="2" t="s">
        <v>40</v>
      </c>
      <c r="W15" s="2" t="s">
        <v>40</v>
      </c>
      <c r="X15" s="2" t="s">
        <v>40</v>
      </c>
      <c r="Y15" s="2" t="s">
        <v>40</v>
      </c>
      <c r="Z15" s="3" t="s">
        <v>40</v>
      </c>
      <c r="AA15" s="3" t="s">
        <v>40</v>
      </c>
      <c r="AB15" s="2" t="s">
        <v>40</v>
      </c>
      <c r="AC15" s="2" t="s">
        <v>40</v>
      </c>
      <c r="AD15" s="2"/>
      <c r="AE15" s="2"/>
      <c r="AF15" s="3" t="s">
        <v>40</v>
      </c>
      <c r="AG15" s="3"/>
      <c r="AH15" s="2">
        <v>11.5</v>
      </c>
      <c r="AI15" s="2">
        <v>15.6</v>
      </c>
    </row>
    <row r="16" spans="1:35" x14ac:dyDescent="0.35">
      <c r="A16" s="1" t="s">
        <v>7</v>
      </c>
      <c r="B16" s="2">
        <v>36</v>
      </c>
      <c r="C16" s="2">
        <v>5</v>
      </c>
      <c r="D16" s="3">
        <v>37</v>
      </c>
      <c r="E16" s="3">
        <v>5</v>
      </c>
      <c r="F16" s="2">
        <v>32</v>
      </c>
      <c r="G16" s="2">
        <v>4</v>
      </c>
      <c r="H16" s="2">
        <v>35</v>
      </c>
      <c r="I16" s="2">
        <v>5</v>
      </c>
      <c r="J16" s="2">
        <v>34</v>
      </c>
      <c r="K16" s="2">
        <v>5.5</v>
      </c>
      <c r="L16" s="2">
        <v>34</v>
      </c>
      <c r="M16" s="2">
        <v>2.5</v>
      </c>
      <c r="N16" s="18">
        <v>27</v>
      </c>
      <c r="P16" s="1" t="s">
        <v>7</v>
      </c>
      <c r="Q16" s="1">
        <v>4</v>
      </c>
      <c r="R16" s="2" t="s">
        <v>40</v>
      </c>
      <c r="S16" s="2" t="s">
        <v>40</v>
      </c>
      <c r="T16" s="3">
        <v>10.7</v>
      </c>
      <c r="U16" s="3" t="s">
        <v>40</v>
      </c>
      <c r="V16" s="2" t="s">
        <v>40</v>
      </c>
      <c r="W16" s="10">
        <v>9.5</v>
      </c>
      <c r="X16" s="10">
        <v>9.9</v>
      </c>
      <c r="Y16" s="2" t="s">
        <v>40</v>
      </c>
      <c r="Z16" s="3" t="s">
        <v>40</v>
      </c>
      <c r="AA16" s="3">
        <v>20</v>
      </c>
      <c r="AB16" s="2">
        <v>8.1999999999999993</v>
      </c>
      <c r="AC16" s="2" t="s">
        <v>40</v>
      </c>
      <c r="AD16" s="10"/>
      <c r="AE16" s="2"/>
      <c r="AF16" s="3" t="s">
        <v>40</v>
      </c>
      <c r="AG16" s="21"/>
      <c r="AH16" s="2"/>
      <c r="AI16" s="2" t="s">
        <v>40</v>
      </c>
    </row>
    <row r="17" spans="1:35" x14ac:dyDescent="0.35">
      <c r="A17" s="1" t="s">
        <v>0</v>
      </c>
      <c r="B17" s="2">
        <v>40</v>
      </c>
      <c r="C17" s="2">
        <v>2</v>
      </c>
      <c r="D17" s="3">
        <v>39</v>
      </c>
      <c r="E17" s="3">
        <v>4</v>
      </c>
      <c r="F17" s="2">
        <v>38</v>
      </c>
      <c r="G17" s="2">
        <v>3</v>
      </c>
      <c r="H17" s="2">
        <v>38</v>
      </c>
      <c r="I17" s="2">
        <v>2</v>
      </c>
      <c r="J17" s="2">
        <v>34</v>
      </c>
      <c r="K17" s="2">
        <v>5.5</v>
      </c>
      <c r="L17" s="2">
        <v>34</v>
      </c>
      <c r="M17" s="2">
        <v>2.5</v>
      </c>
      <c r="N17" s="18">
        <v>19</v>
      </c>
      <c r="P17" s="1" t="s">
        <v>0</v>
      </c>
      <c r="Q17" s="1">
        <v>0</v>
      </c>
      <c r="R17" s="2" t="s">
        <v>40</v>
      </c>
      <c r="S17" s="2" t="s">
        <v>40</v>
      </c>
      <c r="T17" s="3" t="s">
        <v>40</v>
      </c>
      <c r="U17" s="3" t="s">
        <v>40</v>
      </c>
      <c r="V17" s="2" t="s">
        <v>40</v>
      </c>
      <c r="W17" s="2" t="s">
        <v>40</v>
      </c>
      <c r="X17" s="2" t="s">
        <v>40</v>
      </c>
      <c r="Y17" s="2" t="s">
        <v>40</v>
      </c>
      <c r="Z17" s="3" t="s">
        <v>40</v>
      </c>
      <c r="AA17" s="3" t="s">
        <v>40</v>
      </c>
      <c r="AB17" s="2" t="s">
        <v>40</v>
      </c>
      <c r="AC17" s="2" t="s">
        <v>40</v>
      </c>
      <c r="AD17" s="2"/>
      <c r="AE17" s="2"/>
      <c r="AF17" s="3" t="s">
        <v>40</v>
      </c>
      <c r="AG17" s="3"/>
      <c r="AH17" s="2">
        <v>17.7</v>
      </c>
      <c r="AI17" s="2" t="s">
        <v>40</v>
      </c>
    </row>
    <row r="18" spans="1:35" x14ac:dyDescent="0.35">
      <c r="A18" s="1" t="s">
        <v>2</v>
      </c>
      <c r="B18" s="2">
        <v>31.5</v>
      </c>
      <c r="C18" s="2">
        <v>7</v>
      </c>
      <c r="D18" s="3">
        <v>29.5</v>
      </c>
      <c r="E18" s="3">
        <v>8</v>
      </c>
      <c r="F18" s="2">
        <v>25.5</v>
      </c>
      <c r="G18" s="2">
        <v>8</v>
      </c>
      <c r="H18" s="2">
        <v>28.5</v>
      </c>
      <c r="I18" s="2">
        <v>8</v>
      </c>
      <c r="J18" s="2">
        <v>-12.5</v>
      </c>
      <c r="K18" s="2">
        <v>1</v>
      </c>
      <c r="L18" s="2">
        <v>28.5</v>
      </c>
      <c r="M18" s="2">
        <v>8</v>
      </c>
      <c r="N18" s="18">
        <v>40</v>
      </c>
      <c r="P18" s="1" t="s">
        <v>2</v>
      </c>
      <c r="Q18" s="1">
        <v>8</v>
      </c>
      <c r="R18" s="2" t="s">
        <v>40</v>
      </c>
      <c r="S18" s="2" t="s">
        <v>40</v>
      </c>
      <c r="T18" s="21">
        <v>7.8</v>
      </c>
      <c r="U18" s="21">
        <v>20.6</v>
      </c>
      <c r="V18" s="2" t="s">
        <v>40</v>
      </c>
      <c r="W18" s="2" t="s">
        <v>40</v>
      </c>
      <c r="X18" s="2" t="s">
        <v>40</v>
      </c>
      <c r="Y18" s="10">
        <v>6.3</v>
      </c>
      <c r="Z18" s="21">
        <v>8</v>
      </c>
      <c r="AA18" s="21">
        <v>4.2</v>
      </c>
      <c r="AB18" s="2" t="s">
        <v>40</v>
      </c>
      <c r="AC18" s="2" t="s">
        <v>40</v>
      </c>
      <c r="AD18" s="2"/>
      <c r="AE18" s="2"/>
      <c r="AF18" s="21">
        <v>11.9</v>
      </c>
      <c r="AG18" s="3"/>
      <c r="AH18" s="2">
        <v>6.1</v>
      </c>
      <c r="AI18" s="10">
        <v>12.9</v>
      </c>
    </row>
    <row r="19" spans="1:35" x14ac:dyDescent="0.35">
      <c r="A19" s="1" t="s">
        <v>3</v>
      </c>
      <c r="B19" s="2">
        <v>30</v>
      </c>
      <c r="C19" s="2">
        <v>8</v>
      </c>
      <c r="D19" s="3">
        <v>33</v>
      </c>
      <c r="E19" s="3">
        <v>7</v>
      </c>
      <c r="F19" s="2">
        <v>30</v>
      </c>
      <c r="G19" s="2">
        <v>5</v>
      </c>
      <c r="H19" s="2">
        <v>34</v>
      </c>
      <c r="I19" s="2">
        <v>7</v>
      </c>
      <c r="J19" s="2">
        <v>-12</v>
      </c>
      <c r="K19" s="2">
        <v>1</v>
      </c>
      <c r="L19" s="2">
        <v>32</v>
      </c>
      <c r="M19" s="2">
        <v>5</v>
      </c>
      <c r="N19" s="18">
        <v>33</v>
      </c>
      <c r="P19" s="1" t="s">
        <v>3</v>
      </c>
      <c r="Q19" s="1">
        <v>2</v>
      </c>
      <c r="R19" s="2">
        <v>17.899999999999999</v>
      </c>
      <c r="S19" s="3" t="s">
        <v>40</v>
      </c>
      <c r="T19" s="3">
        <v>11.7</v>
      </c>
      <c r="U19" s="3" t="s">
        <v>40</v>
      </c>
      <c r="V19" s="2" t="s">
        <v>40</v>
      </c>
      <c r="W19" s="2" t="s">
        <v>40</v>
      </c>
      <c r="X19" s="2" t="s">
        <v>40</v>
      </c>
      <c r="Y19" s="3">
        <v>8.3000000000000007</v>
      </c>
      <c r="Z19" s="3">
        <v>12</v>
      </c>
      <c r="AA19" s="3" t="s">
        <v>40</v>
      </c>
      <c r="AB19" s="2">
        <v>8.8000000000000007</v>
      </c>
      <c r="AC19" s="10">
        <v>10.9</v>
      </c>
      <c r="AD19" s="2"/>
      <c r="AE19" s="21"/>
      <c r="AF19" s="3" t="s">
        <v>40</v>
      </c>
      <c r="AG19" s="3"/>
      <c r="AH19" s="2" t="s">
        <v>40</v>
      </c>
      <c r="AI19" s="2" t="s">
        <v>40</v>
      </c>
    </row>
    <row r="20" spans="1:35" x14ac:dyDescent="0.35">
      <c r="A20" s="1" t="s">
        <v>4</v>
      </c>
      <c r="B20" s="2">
        <v>36.5</v>
      </c>
      <c r="C20" s="2">
        <v>4</v>
      </c>
      <c r="D20" s="3">
        <v>33.5</v>
      </c>
      <c r="E20" s="3">
        <v>6</v>
      </c>
      <c r="F20" s="2">
        <v>26.5</v>
      </c>
      <c r="G20" s="2">
        <v>7</v>
      </c>
      <c r="H20" s="2">
        <v>37.5</v>
      </c>
      <c r="I20" s="2">
        <v>4</v>
      </c>
      <c r="J20" s="2">
        <v>30.5</v>
      </c>
      <c r="K20" s="2">
        <v>7</v>
      </c>
      <c r="L20" s="2">
        <v>32.5</v>
      </c>
      <c r="M20" s="2">
        <v>4</v>
      </c>
      <c r="N20" s="18">
        <v>32</v>
      </c>
      <c r="P20" s="1" t="s">
        <v>4</v>
      </c>
      <c r="Q20" s="1">
        <v>3</v>
      </c>
      <c r="R20" s="2" t="s">
        <v>40</v>
      </c>
      <c r="S20" s="2" t="s">
        <v>40</v>
      </c>
      <c r="T20" s="3" t="s">
        <v>40</v>
      </c>
      <c r="U20" s="3" t="s">
        <v>40</v>
      </c>
      <c r="V20" s="10" t="s">
        <v>49</v>
      </c>
      <c r="W20" s="2" t="s">
        <v>40</v>
      </c>
      <c r="X20" s="2">
        <v>21.3</v>
      </c>
      <c r="Y20" s="2">
        <v>8.6999999999999993</v>
      </c>
      <c r="Z20" s="3" t="s">
        <v>40</v>
      </c>
      <c r="AA20" s="3" t="s">
        <v>40</v>
      </c>
      <c r="AB20" s="10">
        <v>4.5999999999999996</v>
      </c>
      <c r="AC20" s="2" t="s">
        <v>40</v>
      </c>
      <c r="AD20" s="2"/>
      <c r="AE20" s="2"/>
      <c r="AF20" s="3">
        <v>13.2</v>
      </c>
      <c r="AG20" s="3"/>
      <c r="AH20" s="10" t="s">
        <v>102</v>
      </c>
      <c r="AI20" s="2" t="s">
        <v>40</v>
      </c>
    </row>
    <row r="21" spans="1:35" x14ac:dyDescent="0.35">
      <c r="A21" s="1" t="s">
        <v>8</v>
      </c>
      <c r="B21" s="2">
        <v>-23</v>
      </c>
      <c r="C21" s="2">
        <v>1</v>
      </c>
      <c r="D21" s="3">
        <v>39</v>
      </c>
      <c r="E21" s="3">
        <v>3</v>
      </c>
      <c r="F21" s="2">
        <v>29</v>
      </c>
      <c r="G21" s="2">
        <v>6</v>
      </c>
      <c r="H21" s="2">
        <v>38</v>
      </c>
      <c r="I21" s="2">
        <v>3</v>
      </c>
      <c r="J21" s="2">
        <v>46</v>
      </c>
      <c r="K21" s="2">
        <v>4</v>
      </c>
      <c r="L21" s="2">
        <v>31</v>
      </c>
      <c r="M21" s="2">
        <v>6</v>
      </c>
      <c r="N21" s="18">
        <v>23</v>
      </c>
      <c r="P21" s="1" t="s">
        <v>8</v>
      </c>
      <c r="Q21" s="1">
        <v>0</v>
      </c>
      <c r="R21" s="2" t="s">
        <v>40</v>
      </c>
      <c r="S21" s="2" t="s">
        <v>40</v>
      </c>
      <c r="T21" s="3" t="s">
        <v>40</v>
      </c>
      <c r="U21" s="3" t="s">
        <v>40</v>
      </c>
      <c r="V21" s="2" t="s">
        <v>40</v>
      </c>
      <c r="W21" s="2" t="s">
        <v>40</v>
      </c>
      <c r="X21" s="2" t="s">
        <v>40</v>
      </c>
      <c r="Y21" s="2" t="s">
        <v>40</v>
      </c>
      <c r="Z21" s="3" t="s">
        <v>40</v>
      </c>
      <c r="AA21" s="3" t="s">
        <v>40</v>
      </c>
      <c r="AB21" s="2" t="s">
        <v>40</v>
      </c>
      <c r="AC21" s="2" t="s">
        <v>40</v>
      </c>
      <c r="AD21" s="2"/>
      <c r="AE21" s="2"/>
      <c r="AF21" s="3" t="s">
        <v>40</v>
      </c>
      <c r="AG21" s="3"/>
      <c r="AH21" s="2" t="s">
        <v>40</v>
      </c>
      <c r="AI21" s="2" t="s">
        <v>40</v>
      </c>
    </row>
    <row r="23" spans="1:35" x14ac:dyDescent="0.35">
      <c r="A23" s="44" t="s">
        <v>59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</row>
    <row r="24" spans="1:35" x14ac:dyDescent="0.35">
      <c r="A24" s="1" t="s">
        <v>1</v>
      </c>
      <c r="B24" s="1" t="s">
        <v>12</v>
      </c>
      <c r="C24" s="1" t="s">
        <v>27</v>
      </c>
      <c r="D24" s="1" t="s">
        <v>13</v>
      </c>
      <c r="E24" s="1" t="s">
        <v>27</v>
      </c>
      <c r="F24" s="1" t="s">
        <v>23</v>
      </c>
      <c r="G24" s="1" t="s">
        <v>27</v>
      </c>
      <c r="H24" s="1" t="s">
        <v>24</v>
      </c>
      <c r="I24" s="1" t="s">
        <v>27</v>
      </c>
      <c r="J24" s="1" t="s">
        <v>25</v>
      </c>
      <c r="K24" s="1" t="s">
        <v>27</v>
      </c>
      <c r="L24" s="1" t="s">
        <v>26</v>
      </c>
      <c r="M24" s="1" t="s">
        <v>27</v>
      </c>
      <c r="N24" s="1" t="s">
        <v>9</v>
      </c>
    </row>
    <row r="25" spans="1:35" x14ac:dyDescent="0.35">
      <c r="A25" s="1" t="s">
        <v>5</v>
      </c>
      <c r="B25" s="2">
        <v>40</v>
      </c>
      <c r="C25" s="2">
        <v>2.5</v>
      </c>
      <c r="D25" s="3">
        <v>39</v>
      </c>
      <c r="E25" s="3">
        <v>3</v>
      </c>
      <c r="F25" s="2">
        <v>31</v>
      </c>
      <c r="G25" s="2">
        <v>5.5</v>
      </c>
      <c r="H25" s="2">
        <v>36</v>
      </c>
      <c r="I25" s="2">
        <v>3.5</v>
      </c>
      <c r="J25" s="2">
        <v>34</v>
      </c>
      <c r="K25" s="2">
        <v>5</v>
      </c>
      <c r="L25" s="2">
        <v>37</v>
      </c>
      <c r="M25" s="2">
        <v>6</v>
      </c>
      <c r="N25" s="18">
        <f>C25+E25+G25+I25+K25+M25</f>
        <v>25.5</v>
      </c>
    </row>
    <row r="26" spans="1:35" x14ac:dyDescent="0.35">
      <c r="A26" s="1" t="s">
        <v>6</v>
      </c>
      <c r="B26" s="2">
        <v>35</v>
      </c>
      <c r="C26" s="2">
        <v>6</v>
      </c>
      <c r="D26" s="3">
        <v>27</v>
      </c>
      <c r="E26" s="3">
        <v>8</v>
      </c>
      <c r="F26" s="2">
        <v>37</v>
      </c>
      <c r="G26" s="2">
        <v>3</v>
      </c>
      <c r="H26" s="2">
        <v>33</v>
      </c>
      <c r="I26" s="2">
        <v>6.5</v>
      </c>
      <c r="J26" s="2">
        <v>-14</v>
      </c>
      <c r="K26" s="2">
        <v>1</v>
      </c>
      <c r="L26" s="2">
        <v>-14</v>
      </c>
      <c r="M26" s="2">
        <v>1</v>
      </c>
      <c r="N26" s="18">
        <f t="shared" ref="N26:N32" si="0">C26+E26+G26+I26+K26+M26</f>
        <v>25.5</v>
      </c>
    </row>
    <row r="27" spans="1:35" x14ac:dyDescent="0.35">
      <c r="A27" s="1" t="s">
        <v>7</v>
      </c>
      <c r="B27" s="2">
        <v>40</v>
      </c>
      <c r="C27" s="2">
        <v>2.5</v>
      </c>
      <c r="D27" s="3">
        <v>-6</v>
      </c>
      <c r="E27" s="3">
        <v>1</v>
      </c>
      <c r="F27" s="2">
        <v>-6</v>
      </c>
      <c r="G27" s="2">
        <v>1</v>
      </c>
      <c r="H27" s="2">
        <v>41</v>
      </c>
      <c r="I27" s="2">
        <v>1</v>
      </c>
      <c r="J27" s="2">
        <v>39</v>
      </c>
      <c r="K27" s="2">
        <v>3</v>
      </c>
      <c r="L27" s="2">
        <v>-6</v>
      </c>
      <c r="M27" s="2">
        <v>1</v>
      </c>
      <c r="N27" s="18">
        <f t="shared" si="0"/>
        <v>9.5</v>
      </c>
    </row>
    <row r="28" spans="1:35" x14ac:dyDescent="0.35">
      <c r="A28" s="1" t="s">
        <v>0</v>
      </c>
      <c r="B28" s="2">
        <v>27</v>
      </c>
      <c r="C28" s="2">
        <v>8</v>
      </c>
      <c r="D28" s="3">
        <v>29</v>
      </c>
      <c r="E28" s="3">
        <v>7</v>
      </c>
      <c r="F28" s="2">
        <v>-24</v>
      </c>
      <c r="G28" s="2">
        <v>1</v>
      </c>
      <c r="H28" s="2">
        <v>26</v>
      </c>
      <c r="I28" s="2">
        <v>8</v>
      </c>
      <c r="J28" s="2">
        <v>-24</v>
      </c>
      <c r="K28" s="2">
        <v>1</v>
      </c>
      <c r="L28" s="2">
        <v>-24</v>
      </c>
      <c r="M28" s="2">
        <v>1</v>
      </c>
      <c r="N28" s="18">
        <f t="shared" si="0"/>
        <v>26</v>
      </c>
    </row>
    <row r="29" spans="1:35" x14ac:dyDescent="0.35">
      <c r="A29" s="1" t="s">
        <v>2</v>
      </c>
      <c r="B29" s="2">
        <v>37</v>
      </c>
      <c r="C29" s="2">
        <v>4</v>
      </c>
      <c r="D29" s="3">
        <v>32</v>
      </c>
      <c r="E29" s="3">
        <v>6</v>
      </c>
      <c r="F29" s="2">
        <v>30</v>
      </c>
      <c r="G29" s="2">
        <v>7</v>
      </c>
      <c r="H29" s="2">
        <v>33</v>
      </c>
      <c r="I29" s="2">
        <v>6.5</v>
      </c>
      <c r="J29" s="2">
        <v>37</v>
      </c>
      <c r="K29" s="2">
        <v>4</v>
      </c>
      <c r="L29" s="2">
        <v>39</v>
      </c>
      <c r="M29" s="2">
        <v>5</v>
      </c>
      <c r="N29" s="18">
        <f t="shared" si="0"/>
        <v>32.5</v>
      </c>
    </row>
    <row r="30" spans="1:35" x14ac:dyDescent="0.35">
      <c r="A30" s="1" t="s">
        <v>3</v>
      </c>
      <c r="B30" s="2">
        <v>29</v>
      </c>
      <c r="C30" s="2">
        <v>7</v>
      </c>
      <c r="D30" s="3">
        <v>33</v>
      </c>
      <c r="E30" s="3">
        <v>4.5</v>
      </c>
      <c r="F30" s="2">
        <v>32</v>
      </c>
      <c r="G30" s="2">
        <v>4</v>
      </c>
      <c r="H30" s="2">
        <v>37</v>
      </c>
      <c r="I30" s="2">
        <v>2</v>
      </c>
      <c r="J30" s="2">
        <v>31</v>
      </c>
      <c r="K30" s="2">
        <v>6</v>
      </c>
      <c r="L30" s="2">
        <v>33</v>
      </c>
      <c r="M30" s="2">
        <v>8</v>
      </c>
      <c r="N30" s="18">
        <f>C30+E30+G30+I30+K30+M30</f>
        <v>31.5</v>
      </c>
    </row>
    <row r="31" spans="1:35" x14ac:dyDescent="0.35">
      <c r="A31" s="1" t="s">
        <v>4</v>
      </c>
      <c r="B31" s="2">
        <v>36</v>
      </c>
      <c r="C31" s="2">
        <v>5</v>
      </c>
      <c r="D31" s="3">
        <v>33</v>
      </c>
      <c r="E31" s="3">
        <v>4.5</v>
      </c>
      <c r="F31" s="2">
        <v>31</v>
      </c>
      <c r="G31" s="2">
        <v>5.5</v>
      </c>
      <c r="H31" s="2">
        <v>36</v>
      </c>
      <c r="I31" s="2">
        <v>3.5</v>
      </c>
      <c r="J31" s="2">
        <v>29</v>
      </c>
      <c r="K31" s="2">
        <v>8</v>
      </c>
      <c r="L31" s="2">
        <v>42</v>
      </c>
      <c r="M31" s="2">
        <v>4</v>
      </c>
      <c r="N31" s="18">
        <f t="shared" si="0"/>
        <v>30.5</v>
      </c>
    </row>
    <row r="32" spans="1:35" x14ac:dyDescent="0.35">
      <c r="A32" s="1" t="s">
        <v>8</v>
      </c>
      <c r="B32" s="2">
        <v>-25</v>
      </c>
      <c r="C32" s="2">
        <v>1</v>
      </c>
      <c r="D32" s="3">
        <v>48</v>
      </c>
      <c r="E32" s="3">
        <v>2</v>
      </c>
      <c r="F32" s="2">
        <v>29</v>
      </c>
      <c r="G32" s="2">
        <v>8</v>
      </c>
      <c r="H32" s="2">
        <v>35</v>
      </c>
      <c r="I32" s="2">
        <v>5</v>
      </c>
      <c r="J32" s="2">
        <v>30</v>
      </c>
      <c r="K32" s="2">
        <v>7</v>
      </c>
      <c r="L32" s="2">
        <v>34</v>
      </c>
      <c r="M32" s="2">
        <v>7</v>
      </c>
      <c r="N32" s="18">
        <f t="shared" si="0"/>
        <v>30</v>
      </c>
    </row>
    <row r="34" spans="1:14" x14ac:dyDescent="0.35">
      <c r="A34" s="44" t="s">
        <v>84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</row>
    <row r="35" spans="1:14" x14ac:dyDescent="0.35">
      <c r="A35" s="1" t="s">
        <v>1</v>
      </c>
      <c r="B35" s="1" t="s">
        <v>12</v>
      </c>
      <c r="C35" s="1" t="s">
        <v>27</v>
      </c>
      <c r="D35" s="1" t="s">
        <v>13</v>
      </c>
      <c r="E35" s="1" t="s">
        <v>27</v>
      </c>
      <c r="F35" s="1" t="s">
        <v>23</v>
      </c>
      <c r="G35" s="1" t="s">
        <v>27</v>
      </c>
      <c r="H35" s="1" t="s">
        <v>24</v>
      </c>
      <c r="I35" s="1" t="s">
        <v>27</v>
      </c>
      <c r="J35" s="1" t="s">
        <v>25</v>
      </c>
      <c r="K35" s="1" t="s">
        <v>27</v>
      </c>
      <c r="L35" s="1" t="s">
        <v>26</v>
      </c>
      <c r="M35" s="1" t="s">
        <v>27</v>
      </c>
      <c r="N35" s="1" t="s">
        <v>9</v>
      </c>
    </row>
    <row r="36" spans="1:14" x14ac:dyDescent="0.35">
      <c r="A36" s="1" t="s">
        <v>5</v>
      </c>
      <c r="B36" s="33">
        <v>49.708333333333336</v>
      </c>
      <c r="C36" s="2">
        <v>2</v>
      </c>
      <c r="D36" s="33">
        <v>38.708333333333336</v>
      </c>
      <c r="E36" s="2">
        <v>3</v>
      </c>
      <c r="F36" s="33">
        <v>34.708333333333336</v>
      </c>
      <c r="G36" s="2">
        <v>6</v>
      </c>
      <c r="H36" s="33">
        <v>47.708333333333336</v>
      </c>
      <c r="I36" s="2">
        <v>3</v>
      </c>
      <c r="J36" s="33">
        <v>29.708333333333336</v>
      </c>
      <c r="K36" s="2">
        <v>6</v>
      </c>
      <c r="L36" s="33">
        <v>34.708333333333336</v>
      </c>
      <c r="M36" s="2">
        <v>4.5</v>
      </c>
      <c r="N36" s="18">
        <f>C36+E36+G36+I36+K36+M36</f>
        <v>24.5</v>
      </c>
    </row>
    <row r="37" spans="1:14" x14ac:dyDescent="0.35">
      <c r="A37" s="1" t="s">
        <v>6</v>
      </c>
      <c r="B37" s="33">
        <v>43.325000000000003</v>
      </c>
      <c r="C37" s="2">
        <v>4</v>
      </c>
      <c r="D37" s="33">
        <v>31.325000000000003</v>
      </c>
      <c r="E37" s="2">
        <v>7</v>
      </c>
      <c r="F37" s="33">
        <v>46.325000000000003</v>
      </c>
      <c r="G37" s="2">
        <v>1</v>
      </c>
      <c r="H37" s="33">
        <v>50.325000000000003</v>
      </c>
      <c r="I37" s="2">
        <v>1.5</v>
      </c>
      <c r="J37" s="33">
        <v>31.325000000000003</v>
      </c>
      <c r="K37" s="2">
        <v>5</v>
      </c>
      <c r="L37" s="33">
        <v>36.325000000000003</v>
      </c>
      <c r="M37" s="2">
        <v>3</v>
      </c>
      <c r="N37" s="18">
        <f t="shared" ref="N37:N43" si="1">C37+E37+G37+I37+K37+M37</f>
        <v>21.5</v>
      </c>
    </row>
    <row r="38" spans="1:14" x14ac:dyDescent="0.35">
      <c r="A38" s="1" t="s">
        <v>7</v>
      </c>
      <c r="B38" s="33">
        <v>36.534090909090907</v>
      </c>
      <c r="C38" s="2">
        <v>6</v>
      </c>
      <c r="D38" s="33">
        <v>35.534090909090907</v>
      </c>
      <c r="E38" s="2">
        <v>4.5</v>
      </c>
      <c r="F38" s="33">
        <v>35.534090909090907</v>
      </c>
      <c r="G38" s="2">
        <v>5</v>
      </c>
      <c r="H38" s="33">
        <v>40.534090909090907</v>
      </c>
      <c r="I38" s="2">
        <v>5</v>
      </c>
      <c r="J38" s="33">
        <v>-7.4659090909090935</v>
      </c>
      <c r="K38" s="2">
        <v>1</v>
      </c>
      <c r="L38" s="33">
        <v>-7.4659090909090935</v>
      </c>
      <c r="M38" s="2">
        <v>1</v>
      </c>
      <c r="N38" s="18">
        <f t="shared" si="1"/>
        <v>22.5</v>
      </c>
    </row>
    <row r="39" spans="1:14" x14ac:dyDescent="0.35">
      <c r="A39" s="1" t="s">
        <v>0</v>
      </c>
      <c r="B39" s="33">
        <v>36.44318181818182</v>
      </c>
      <c r="C39" s="2">
        <v>7</v>
      </c>
      <c r="D39" s="33">
        <v>53.44318181818182</v>
      </c>
      <c r="E39" s="2">
        <v>2</v>
      </c>
      <c r="F39" s="33">
        <v>31.44318181818182</v>
      </c>
      <c r="G39" s="2">
        <v>7</v>
      </c>
      <c r="H39" s="33">
        <v>50.44318181818182</v>
      </c>
      <c r="I39" s="2">
        <v>1.5</v>
      </c>
      <c r="J39" s="33">
        <v>34.44318181818182</v>
      </c>
      <c r="K39" s="2">
        <v>3</v>
      </c>
      <c r="L39" s="33">
        <v>35.44318181818182</v>
      </c>
      <c r="M39" s="2">
        <v>4.5</v>
      </c>
      <c r="N39" s="18">
        <f t="shared" si="1"/>
        <v>25</v>
      </c>
    </row>
    <row r="40" spans="1:14" x14ac:dyDescent="0.35">
      <c r="A40" s="1" t="s">
        <v>2</v>
      </c>
      <c r="B40" s="33">
        <v>-7.375</v>
      </c>
      <c r="C40" s="2">
        <v>1</v>
      </c>
      <c r="D40" s="33">
        <v>-7.375</v>
      </c>
      <c r="E40" s="2">
        <v>1</v>
      </c>
      <c r="F40" s="33">
        <v>36.625</v>
      </c>
      <c r="G40" s="2">
        <v>4</v>
      </c>
      <c r="H40" s="33">
        <v>38.625</v>
      </c>
      <c r="I40" s="2">
        <v>6</v>
      </c>
      <c r="J40" s="33">
        <v>31.625</v>
      </c>
      <c r="K40" s="2">
        <v>4</v>
      </c>
      <c r="L40" s="33">
        <v>37.625</v>
      </c>
      <c r="M40" s="2">
        <v>2</v>
      </c>
      <c r="N40" s="18">
        <f t="shared" si="1"/>
        <v>18</v>
      </c>
    </row>
    <row r="41" spans="1:14" x14ac:dyDescent="0.35">
      <c r="A41" s="1" t="s">
        <v>3</v>
      </c>
      <c r="B41" s="33">
        <v>35.240384615384613</v>
      </c>
      <c r="C41" s="2">
        <v>8</v>
      </c>
      <c r="D41" s="33">
        <v>36.240384615384613</v>
      </c>
      <c r="E41" s="2">
        <v>4.5</v>
      </c>
      <c r="F41" s="33">
        <v>40.240384615384613</v>
      </c>
      <c r="G41" s="2">
        <v>2</v>
      </c>
      <c r="H41" s="33">
        <v>37.240384615384613</v>
      </c>
      <c r="I41" s="2">
        <v>8</v>
      </c>
      <c r="J41" s="33">
        <v>36.240384615384613</v>
      </c>
      <c r="K41" s="2">
        <v>2</v>
      </c>
      <c r="L41" s="33">
        <v>31.240384615384613</v>
      </c>
      <c r="M41" s="2">
        <v>7</v>
      </c>
      <c r="N41" s="18">
        <f t="shared" si="1"/>
        <v>31.5</v>
      </c>
    </row>
    <row r="42" spans="1:14" x14ac:dyDescent="0.35">
      <c r="A42" s="1" t="s">
        <v>4</v>
      </c>
      <c r="B42" s="33">
        <v>38.767857142857146</v>
      </c>
      <c r="C42" s="2">
        <v>5</v>
      </c>
      <c r="D42" s="33">
        <v>34.767857142857146</v>
      </c>
      <c r="E42" s="2">
        <v>6</v>
      </c>
      <c r="F42" s="33">
        <v>38.767857142857146</v>
      </c>
      <c r="G42" s="2">
        <v>3</v>
      </c>
      <c r="H42" s="33">
        <v>41.767857142857146</v>
      </c>
      <c r="I42" s="2">
        <v>4</v>
      </c>
      <c r="J42" s="33">
        <v>26.767857142857146</v>
      </c>
      <c r="K42" s="2">
        <v>7.5</v>
      </c>
      <c r="L42" s="33">
        <v>31.767857142857146</v>
      </c>
      <c r="M42" s="2">
        <v>6</v>
      </c>
      <c r="N42" s="18">
        <f t="shared" si="1"/>
        <v>31.5</v>
      </c>
    </row>
    <row r="43" spans="1:14" x14ac:dyDescent="0.35">
      <c r="A43" s="1" t="s">
        <v>8</v>
      </c>
      <c r="B43" s="33">
        <v>47.041666666666664</v>
      </c>
      <c r="C43" s="2">
        <v>3</v>
      </c>
      <c r="D43" s="33">
        <v>27.041666666666664</v>
      </c>
      <c r="E43" s="2">
        <v>8</v>
      </c>
      <c r="F43" s="33">
        <v>30.041666666666664</v>
      </c>
      <c r="G43" s="2">
        <v>8</v>
      </c>
      <c r="H43" s="33">
        <v>38.041666666666664</v>
      </c>
      <c r="I43" s="2">
        <v>7</v>
      </c>
      <c r="J43" s="33">
        <v>27.041666666666664</v>
      </c>
      <c r="K43" s="2">
        <v>7.5</v>
      </c>
      <c r="L43" s="33">
        <v>28.041666666666664</v>
      </c>
      <c r="M43" s="2">
        <v>8</v>
      </c>
      <c r="N43" s="18">
        <f t="shared" si="1"/>
        <v>41.5</v>
      </c>
    </row>
  </sheetData>
  <mergeCells count="4">
    <mergeCell ref="A23:N23"/>
    <mergeCell ref="A34:N34"/>
    <mergeCell ref="A12:N12"/>
    <mergeCell ref="P12:AI12"/>
  </mergeCells>
  <pageMargins left="0.7" right="0.7" top="0.75" bottom="0.75" header="0.3" footer="0.3"/>
  <pageSetup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howOutlineSymbols="0"/>
  </sheetPr>
  <dimension ref="A1:Z60"/>
  <sheetViews>
    <sheetView showOutlineSymbols="0" topLeftCell="A13" zoomScale="60" zoomScaleNormal="60" workbookViewId="0">
      <selection activeCell="T36" sqref="T36:T47"/>
    </sheetView>
  </sheetViews>
  <sheetFormatPr defaultRowHeight="14.5" outlineLevelRow="1" outlineLevelCol="2" x14ac:dyDescent="0.35"/>
  <cols>
    <col min="1" max="1" width="10.7265625" bestFit="1" customWidth="1"/>
    <col min="2" max="2" width="11.36328125" bestFit="1" customWidth="1" outlineLevel="2"/>
    <col min="3" max="10" width="9.1796875" outlineLevel="2"/>
    <col min="11" max="12" width="9.1796875" outlineLevel="1"/>
    <col min="14" max="22" width="9.1796875" outlineLevel="2"/>
    <col min="23" max="24" width="9.1796875" outlineLevel="1"/>
  </cols>
  <sheetData>
    <row r="1" spans="1:26" x14ac:dyDescent="0.35">
      <c r="A1" s="19" t="s">
        <v>1</v>
      </c>
      <c r="B1" t="s">
        <v>43</v>
      </c>
    </row>
    <row r="2" spans="1:26" x14ac:dyDescent="0.35">
      <c r="A2" s="20" t="s">
        <v>2</v>
      </c>
      <c r="B2">
        <v>40</v>
      </c>
    </row>
    <row r="3" spans="1:26" x14ac:dyDescent="0.35">
      <c r="A3" s="20" t="s">
        <v>3</v>
      </c>
      <c r="B3">
        <v>33</v>
      </c>
    </row>
    <row r="4" spans="1:26" x14ac:dyDescent="0.35">
      <c r="A4" s="20" t="s">
        <v>4</v>
      </c>
      <c r="B4">
        <v>32</v>
      </c>
    </row>
    <row r="5" spans="1:26" x14ac:dyDescent="0.35">
      <c r="A5" s="20" t="s">
        <v>7</v>
      </c>
      <c r="B5">
        <v>27</v>
      </c>
    </row>
    <row r="6" spans="1:26" x14ac:dyDescent="0.35">
      <c r="A6" s="20" t="s">
        <v>5</v>
      </c>
      <c r="B6">
        <v>26</v>
      </c>
    </row>
    <row r="7" spans="1:26" x14ac:dyDescent="0.35">
      <c r="A7" s="20" t="s">
        <v>8</v>
      </c>
      <c r="B7">
        <v>23</v>
      </c>
    </row>
    <row r="8" spans="1:26" x14ac:dyDescent="0.35">
      <c r="A8" s="20" t="s">
        <v>0</v>
      </c>
      <c r="B8">
        <v>19</v>
      </c>
    </row>
    <row r="9" spans="1:26" x14ac:dyDescent="0.35">
      <c r="A9" s="20" t="s">
        <v>6</v>
      </c>
      <c r="B9">
        <v>15</v>
      </c>
    </row>
    <row r="10" spans="1:26" x14ac:dyDescent="0.35">
      <c r="A10" s="20" t="s">
        <v>42</v>
      </c>
      <c r="B10">
        <v>215</v>
      </c>
    </row>
    <row r="12" spans="1:26" x14ac:dyDescent="0.35">
      <c r="A12" s="44" t="s">
        <v>19</v>
      </c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P12" s="45" t="s">
        <v>27</v>
      </c>
      <c r="Q12" s="46"/>
      <c r="R12" s="17" t="s">
        <v>36</v>
      </c>
      <c r="T12" s="44" t="s">
        <v>37</v>
      </c>
      <c r="U12" s="44"/>
      <c r="V12" s="44"/>
      <c r="W12" s="44"/>
      <c r="X12" s="44"/>
      <c r="Y12" s="44"/>
      <c r="Z12" s="44"/>
    </row>
    <row r="13" spans="1:26" x14ac:dyDescent="0.35">
      <c r="A13" s="1" t="s">
        <v>1</v>
      </c>
      <c r="B13" s="1" t="s">
        <v>12</v>
      </c>
      <c r="C13" s="1" t="s">
        <v>27</v>
      </c>
      <c r="D13" s="1" t="s">
        <v>13</v>
      </c>
      <c r="E13" s="1" t="s">
        <v>27</v>
      </c>
      <c r="F13" s="1" t="s">
        <v>23</v>
      </c>
      <c r="G13" s="1" t="s">
        <v>27</v>
      </c>
      <c r="H13" s="1" t="s">
        <v>24</v>
      </c>
      <c r="I13" s="1" t="s">
        <v>27</v>
      </c>
      <c r="J13" s="1" t="s">
        <v>25</v>
      </c>
      <c r="K13" s="1" t="s">
        <v>27</v>
      </c>
      <c r="L13" s="1" t="s">
        <v>26</v>
      </c>
      <c r="M13" s="1" t="s">
        <v>27</v>
      </c>
      <c r="N13" s="1" t="s">
        <v>9</v>
      </c>
      <c r="P13" s="1" t="s">
        <v>28</v>
      </c>
      <c r="Q13" s="2">
        <v>8</v>
      </c>
      <c r="T13" s="1" t="s">
        <v>1</v>
      </c>
      <c r="U13" s="1" t="s">
        <v>12</v>
      </c>
      <c r="V13" s="1" t="s">
        <v>13</v>
      </c>
      <c r="W13" s="1" t="s">
        <v>23</v>
      </c>
      <c r="X13" s="1" t="s">
        <v>24</v>
      </c>
      <c r="Y13" s="1" t="s">
        <v>25</v>
      </c>
      <c r="Z13" s="1" t="s">
        <v>26</v>
      </c>
    </row>
    <row r="14" spans="1:26" x14ac:dyDescent="0.35">
      <c r="A14" s="1" t="s">
        <v>5</v>
      </c>
      <c r="B14" s="2">
        <f t="shared" ref="B14:B21" si="0">M26</f>
        <v>38.5</v>
      </c>
      <c r="C14" s="2">
        <v>3</v>
      </c>
      <c r="D14" s="3">
        <f t="shared" ref="D14:D21" si="1">Y26</f>
        <v>-25.5</v>
      </c>
      <c r="E14" s="3">
        <v>1</v>
      </c>
      <c r="F14" s="2">
        <f>M39</f>
        <v>-25.5</v>
      </c>
      <c r="G14" s="2">
        <v>1</v>
      </c>
      <c r="H14" s="2">
        <f>Y39</f>
        <v>34.5</v>
      </c>
      <c r="I14" s="2">
        <v>6</v>
      </c>
      <c r="J14" s="2">
        <f>M52</f>
        <v>27.5</v>
      </c>
      <c r="K14" s="2">
        <v>8</v>
      </c>
      <c r="L14" s="2">
        <f>Y52</f>
        <v>30.5</v>
      </c>
      <c r="M14" s="2">
        <v>7</v>
      </c>
      <c r="N14" s="18">
        <f t="shared" ref="N14:N21" si="2">C14+E14+G14+I14+K14+M14</f>
        <v>26</v>
      </c>
      <c r="P14" s="1" t="s">
        <v>29</v>
      </c>
      <c r="Q14" s="2">
        <v>7</v>
      </c>
      <c r="T14" s="1" t="s">
        <v>5</v>
      </c>
      <c r="U14" s="2" t="s">
        <v>40</v>
      </c>
      <c r="V14" s="2" t="s">
        <v>40</v>
      </c>
      <c r="W14" s="3" t="s">
        <v>40</v>
      </c>
      <c r="X14" s="3" t="s">
        <v>40</v>
      </c>
      <c r="Y14" s="2" t="s">
        <v>40</v>
      </c>
      <c r="Z14" s="2" t="s">
        <v>40</v>
      </c>
    </row>
    <row r="15" spans="1:26" x14ac:dyDescent="0.35">
      <c r="A15" s="1" t="s">
        <v>6</v>
      </c>
      <c r="B15" s="2">
        <f t="shared" si="0"/>
        <v>32.5</v>
      </c>
      <c r="C15" s="2">
        <v>6</v>
      </c>
      <c r="D15" s="3">
        <f t="shared" si="1"/>
        <v>41.5</v>
      </c>
      <c r="E15" s="3">
        <v>2</v>
      </c>
      <c r="F15" s="2">
        <f t="shared" ref="F15:F21" si="3">M40</f>
        <v>38.5</v>
      </c>
      <c r="G15" s="2">
        <v>2</v>
      </c>
      <c r="H15" s="2">
        <f>Y40</f>
        <v>-10.5</v>
      </c>
      <c r="I15" s="2">
        <v>1</v>
      </c>
      <c r="J15" s="2">
        <f t="shared" ref="J15:J21" si="4">M53</f>
        <v>47.5</v>
      </c>
      <c r="K15" s="2">
        <v>3</v>
      </c>
      <c r="L15" s="2">
        <f t="shared" ref="L15:L21" si="5">Y53</f>
        <v>-10.5</v>
      </c>
      <c r="M15" s="2">
        <v>1</v>
      </c>
      <c r="N15" s="18">
        <f t="shared" si="2"/>
        <v>15</v>
      </c>
      <c r="P15" s="1" t="s">
        <v>30</v>
      </c>
      <c r="Q15" s="2">
        <v>6</v>
      </c>
      <c r="T15" s="1" t="s">
        <v>6</v>
      </c>
      <c r="U15" s="10">
        <v>6.5</v>
      </c>
      <c r="V15" s="2" t="s">
        <v>40</v>
      </c>
      <c r="W15" s="3" t="s">
        <v>40</v>
      </c>
      <c r="X15" s="3" t="s">
        <v>40</v>
      </c>
      <c r="Y15" s="2" t="s">
        <v>40</v>
      </c>
      <c r="Z15" s="2" t="s">
        <v>40</v>
      </c>
    </row>
    <row r="16" spans="1:26" x14ac:dyDescent="0.35">
      <c r="A16" s="1" t="s">
        <v>7</v>
      </c>
      <c r="B16" s="2">
        <f t="shared" si="0"/>
        <v>36</v>
      </c>
      <c r="C16" s="2">
        <v>5</v>
      </c>
      <c r="D16" s="3">
        <f t="shared" si="1"/>
        <v>37</v>
      </c>
      <c r="E16" s="3">
        <v>5</v>
      </c>
      <c r="F16" s="2">
        <f t="shared" si="3"/>
        <v>32</v>
      </c>
      <c r="G16" s="2">
        <v>4</v>
      </c>
      <c r="H16" s="2">
        <f t="shared" ref="H16:H21" si="6">Y41</f>
        <v>35</v>
      </c>
      <c r="I16" s="2">
        <v>5</v>
      </c>
      <c r="J16" s="2">
        <f t="shared" si="4"/>
        <v>34</v>
      </c>
      <c r="K16" s="2">
        <v>5.5</v>
      </c>
      <c r="L16" s="2">
        <f t="shared" si="5"/>
        <v>34</v>
      </c>
      <c r="M16" s="2">
        <v>2.5</v>
      </c>
      <c r="N16" s="18">
        <f t="shared" si="2"/>
        <v>27</v>
      </c>
      <c r="P16" s="1" t="s">
        <v>31</v>
      </c>
      <c r="Q16" s="2">
        <v>5</v>
      </c>
      <c r="T16" s="1" t="s">
        <v>7</v>
      </c>
      <c r="U16" s="2" t="s">
        <v>40</v>
      </c>
      <c r="V16" s="2" t="s">
        <v>40</v>
      </c>
      <c r="W16" s="3">
        <v>10.7</v>
      </c>
      <c r="X16" s="3" t="s">
        <v>40</v>
      </c>
      <c r="Y16" s="2" t="s">
        <v>40</v>
      </c>
      <c r="Z16" s="10">
        <v>9.5</v>
      </c>
    </row>
    <row r="17" spans="1:26" x14ac:dyDescent="0.35">
      <c r="A17" s="1" t="s">
        <v>0</v>
      </c>
      <c r="B17" s="2">
        <f t="shared" si="0"/>
        <v>40</v>
      </c>
      <c r="C17" s="2">
        <v>2</v>
      </c>
      <c r="D17" s="3">
        <f t="shared" si="1"/>
        <v>39</v>
      </c>
      <c r="E17" s="3">
        <v>4</v>
      </c>
      <c r="F17" s="2">
        <f t="shared" si="3"/>
        <v>38</v>
      </c>
      <c r="G17" s="2">
        <v>3</v>
      </c>
      <c r="H17" s="2">
        <f t="shared" si="6"/>
        <v>38</v>
      </c>
      <c r="I17" s="2">
        <v>2</v>
      </c>
      <c r="J17" s="2">
        <f t="shared" si="4"/>
        <v>34</v>
      </c>
      <c r="K17" s="2">
        <v>5.5</v>
      </c>
      <c r="L17" s="2">
        <f t="shared" si="5"/>
        <v>34</v>
      </c>
      <c r="M17" s="2">
        <v>2.5</v>
      </c>
      <c r="N17" s="18">
        <f t="shared" si="2"/>
        <v>19</v>
      </c>
      <c r="P17" s="1" t="s">
        <v>32</v>
      </c>
      <c r="Q17" s="2">
        <v>4</v>
      </c>
      <c r="T17" s="1" t="s">
        <v>0</v>
      </c>
      <c r="U17" s="2" t="s">
        <v>40</v>
      </c>
      <c r="V17" s="2" t="s">
        <v>40</v>
      </c>
      <c r="W17" s="3" t="s">
        <v>40</v>
      </c>
      <c r="X17" s="3" t="s">
        <v>40</v>
      </c>
      <c r="Y17" s="2" t="s">
        <v>40</v>
      </c>
      <c r="Z17" s="2" t="s">
        <v>40</v>
      </c>
    </row>
    <row r="18" spans="1:26" x14ac:dyDescent="0.35">
      <c r="A18" s="1" t="s">
        <v>2</v>
      </c>
      <c r="B18" s="2">
        <f t="shared" si="0"/>
        <v>31.5</v>
      </c>
      <c r="C18" s="2">
        <v>7</v>
      </c>
      <c r="D18" s="3">
        <f t="shared" si="1"/>
        <v>29.5</v>
      </c>
      <c r="E18" s="3">
        <v>8</v>
      </c>
      <c r="F18" s="2">
        <f t="shared" si="3"/>
        <v>25.5</v>
      </c>
      <c r="G18" s="2">
        <v>8</v>
      </c>
      <c r="H18" s="2">
        <f t="shared" si="6"/>
        <v>28.5</v>
      </c>
      <c r="I18" s="2">
        <v>8</v>
      </c>
      <c r="J18" s="2">
        <f t="shared" si="4"/>
        <v>-12.5</v>
      </c>
      <c r="K18" s="2">
        <v>1</v>
      </c>
      <c r="L18" s="2">
        <f t="shared" si="5"/>
        <v>28.5</v>
      </c>
      <c r="M18" s="2">
        <v>8</v>
      </c>
      <c r="N18" s="18">
        <f t="shared" si="2"/>
        <v>40</v>
      </c>
      <c r="P18" s="1" t="s">
        <v>33</v>
      </c>
      <c r="Q18" s="2">
        <v>3</v>
      </c>
      <c r="T18" s="1" t="s">
        <v>2</v>
      </c>
      <c r="U18" s="2" t="s">
        <v>40</v>
      </c>
      <c r="V18" s="2" t="s">
        <v>40</v>
      </c>
      <c r="W18" s="21">
        <v>7.8</v>
      </c>
      <c r="X18" s="21">
        <v>20.6</v>
      </c>
      <c r="Y18" s="2" t="s">
        <v>40</v>
      </c>
      <c r="Z18" s="2" t="s">
        <v>40</v>
      </c>
    </row>
    <row r="19" spans="1:26" x14ac:dyDescent="0.35">
      <c r="A19" s="1" t="s">
        <v>3</v>
      </c>
      <c r="B19" s="2">
        <f t="shared" si="0"/>
        <v>30</v>
      </c>
      <c r="C19" s="2">
        <v>8</v>
      </c>
      <c r="D19" s="3">
        <f t="shared" si="1"/>
        <v>33</v>
      </c>
      <c r="E19" s="3">
        <v>7</v>
      </c>
      <c r="F19" s="2">
        <f t="shared" si="3"/>
        <v>30</v>
      </c>
      <c r="G19" s="2">
        <v>5</v>
      </c>
      <c r="H19" s="2">
        <f t="shared" si="6"/>
        <v>34</v>
      </c>
      <c r="I19" s="2">
        <v>7</v>
      </c>
      <c r="J19" s="2">
        <f t="shared" si="4"/>
        <v>-12</v>
      </c>
      <c r="K19" s="2">
        <v>1</v>
      </c>
      <c r="L19" s="2">
        <f t="shared" si="5"/>
        <v>32</v>
      </c>
      <c r="M19" s="2">
        <v>5</v>
      </c>
      <c r="N19" s="18">
        <f t="shared" si="2"/>
        <v>33</v>
      </c>
      <c r="P19" s="1" t="s">
        <v>34</v>
      </c>
      <c r="Q19" s="2">
        <v>2</v>
      </c>
      <c r="T19" s="1" t="s">
        <v>3</v>
      </c>
      <c r="U19" s="2">
        <v>17.899999999999999</v>
      </c>
      <c r="V19" s="3" t="s">
        <v>40</v>
      </c>
      <c r="W19" s="3">
        <v>11.7</v>
      </c>
      <c r="X19" s="3" t="s">
        <v>40</v>
      </c>
      <c r="Y19" s="2" t="s">
        <v>40</v>
      </c>
      <c r="Z19" s="2" t="s">
        <v>40</v>
      </c>
    </row>
    <row r="20" spans="1:26" x14ac:dyDescent="0.35">
      <c r="A20" s="1" t="s">
        <v>4</v>
      </c>
      <c r="B20" s="2">
        <f t="shared" si="0"/>
        <v>36.5</v>
      </c>
      <c r="C20" s="2">
        <v>4</v>
      </c>
      <c r="D20" s="3">
        <f t="shared" si="1"/>
        <v>33.5</v>
      </c>
      <c r="E20" s="3">
        <v>6</v>
      </c>
      <c r="F20" s="2">
        <f t="shared" si="3"/>
        <v>26.5</v>
      </c>
      <c r="G20" s="2">
        <v>7</v>
      </c>
      <c r="H20" s="2">
        <f t="shared" si="6"/>
        <v>37.5</v>
      </c>
      <c r="I20" s="2">
        <v>4</v>
      </c>
      <c r="J20" s="2">
        <f t="shared" si="4"/>
        <v>30.5</v>
      </c>
      <c r="K20" s="2">
        <v>7</v>
      </c>
      <c r="L20" s="2">
        <f t="shared" si="5"/>
        <v>32.5</v>
      </c>
      <c r="M20" s="2">
        <v>4</v>
      </c>
      <c r="N20" s="18">
        <f t="shared" si="2"/>
        <v>32</v>
      </c>
      <c r="P20" s="1" t="s">
        <v>35</v>
      </c>
      <c r="Q20" s="2">
        <v>1</v>
      </c>
      <c r="T20" s="1" t="s">
        <v>4</v>
      </c>
      <c r="U20" s="2" t="s">
        <v>40</v>
      </c>
      <c r="V20" s="2" t="s">
        <v>40</v>
      </c>
      <c r="W20" s="3" t="s">
        <v>40</v>
      </c>
      <c r="X20" s="3" t="s">
        <v>40</v>
      </c>
      <c r="Y20" s="10" t="s">
        <v>49</v>
      </c>
      <c r="Z20" s="2" t="s">
        <v>40</v>
      </c>
    </row>
    <row r="21" spans="1:26" x14ac:dyDescent="0.35">
      <c r="A21" s="1" t="s">
        <v>8</v>
      </c>
      <c r="B21" s="2">
        <f t="shared" si="0"/>
        <v>-23</v>
      </c>
      <c r="C21" s="2">
        <v>1</v>
      </c>
      <c r="D21" s="3">
        <f t="shared" si="1"/>
        <v>39</v>
      </c>
      <c r="E21" s="3">
        <v>3</v>
      </c>
      <c r="F21" s="2">
        <f t="shared" si="3"/>
        <v>29</v>
      </c>
      <c r="G21" s="2">
        <v>6</v>
      </c>
      <c r="H21" s="2">
        <f t="shared" si="6"/>
        <v>38</v>
      </c>
      <c r="I21" s="2">
        <v>3</v>
      </c>
      <c r="J21" s="2">
        <f t="shared" si="4"/>
        <v>46</v>
      </c>
      <c r="K21" s="2">
        <v>4</v>
      </c>
      <c r="L21" s="2">
        <f t="shared" si="5"/>
        <v>31</v>
      </c>
      <c r="M21" s="2">
        <v>6</v>
      </c>
      <c r="N21" s="18">
        <f t="shared" si="2"/>
        <v>23</v>
      </c>
      <c r="T21" s="1" t="s">
        <v>8</v>
      </c>
      <c r="U21" s="2" t="s">
        <v>40</v>
      </c>
      <c r="V21" s="2" t="s">
        <v>40</v>
      </c>
      <c r="W21" s="3" t="s">
        <v>40</v>
      </c>
      <c r="X21" s="3" t="s">
        <v>40</v>
      </c>
      <c r="Y21" s="2" t="s">
        <v>40</v>
      </c>
      <c r="Z21" s="2" t="s">
        <v>40</v>
      </c>
    </row>
    <row r="23" spans="1:26" x14ac:dyDescent="0.35">
      <c r="A23" s="1" t="s">
        <v>18</v>
      </c>
      <c r="B23" s="1">
        <v>1</v>
      </c>
      <c r="C23" s="1">
        <v>2</v>
      </c>
      <c r="D23" s="1">
        <v>3</v>
      </c>
      <c r="E23" s="1">
        <v>4</v>
      </c>
      <c r="F23" s="1">
        <v>5</v>
      </c>
      <c r="G23" s="11">
        <v>6</v>
      </c>
      <c r="H23" s="9">
        <v>7</v>
      </c>
      <c r="I23" s="14">
        <v>8</v>
      </c>
      <c r="J23" s="1">
        <v>9</v>
      </c>
      <c r="K23" s="1" t="s">
        <v>9</v>
      </c>
      <c r="L23" s="1" t="s">
        <v>14</v>
      </c>
      <c r="M23" s="1" t="s">
        <v>20</v>
      </c>
      <c r="N23" s="1">
        <v>10</v>
      </c>
      <c r="O23" s="1">
        <v>11</v>
      </c>
      <c r="P23" s="11">
        <v>12</v>
      </c>
      <c r="Q23" s="1">
        <v>13</v>
      </c>
      <c r="R23" s="14">
        <v>14</v>
      </c>
      <c r="S23" s="9">
        <v>15</v>
      </c>
      <c r="T23" s="1">
        <v>16</v>
      </c>
      <c r="U23" s="1">
        <v>17</v>
      </c>
      <c r="V23" s="1">
        <v>18</v>
      </c>
      <c r="W23" s="1" t="s">
        <v>9</v>
      </c>
      <c r="X23" s="1" t="s">
        <v>14</v>
      </c>
      <c r="Y23" s="1" t="s">
        <v>20</v>
      </c>
    </row>
    <row r="24" spans="1:26" outlineLevel="1" x14ac:dyDescent="0.35">
      <c r="A24" s="1" t="s">
        <v>15</v>
      </c>
      <c r="B24" s="1">
        <v>4</v>
      </c>
      <c r="C24" s="1">
        <v>4</v>
      </c>
      <c r="D24" s="1">
        <v>3</v>
      </c>
      <c r="E24" s="1">
        <v>5</v>
      </c>
      <c r="F24" s="1">
        <v>4</v>
      </c>
      <c r="G24" s="11">
        <v>4</v>
      </c>
      <c r="H24" s="9">
        <v>3</v>
      </c>
      <c r="I24" s="14">
        <v>5</v>
      </c>
      <c r="J24" s="1">
        <v>4</v>
      </c>
      <c r="K24" s="1">
        <f>SUM(B24:J24)</f>
        <v>36</v>
      </c>
      <c r="L24" s="7"/>
      <c r="M24" s="7"/>
      <c r="N24" s="1">
        <v>4</v>
      </c>
      <c r="O24" s="1">
        <v>5</v>
      </c>
      <c r="P24" s="11">
        <v>4</v>
      </c>
      <c r="Q24" s="1">
        <v>3</v>
      </c>
      <c r="R24" s="14">
        <v>4</v>
      </c>
      <c r="S24" s="9">
        <v>3</v>
      </c>
      <c r="T24" s="1">
        <v>4</v>
      </c>
      <c r="U24" s="1">
        <v>5</v>
      </c>
      <c r="V24" s="1">
        <v>4</v>
      </c>
      <c r="W24" s="1">
        <f>SUM(N24:V24)</f>
        <v>36</v>
      </c>
      <c r="X24" s="8"/>
      <c r="Y24" s="7"/>
    </row>
    <row r="25" spans="1:26" outlineLevel="1" x14ac:dyDescent="0.35">
      <c r="A25" s="1" t="s">
        <v>1</v>
      </c>
      <c r="B25" s="5"/>
      <c r="C25" s="5"/>
      <c r="D25" s="5"/>
      <c r="E25" s="5"/>
      <c r="F25" s="5"/>
      <c r="G25" s="12"/>
      <c r="H25" s="5"/>
      <c r="I25" s="15"/>
      <c r="J25" s="5"/>
      <c r="K25" s="5"/>
      <c r="L25" s="5"/>
      <c r="M25" s="5"/>
      <c r="N25" s="5"/>
      <c r="O25" s="5"/>
      <c r="P25" s="12"/>
      <c r="Q25" s="5"/>
      <c r="R25" s="15"/>
      <c r="S25" s="5"/>
      <c r="T25" s="5"/>
      <c r="U25" s="5"/>
      <c r="V25" s="5"/>
      <c r="W25" s="5"/>
      <c r="X25" s="5"/>
      <c r="Y25" s="5"/>
    </row>
    <row r="26" spans="1:26" outlineLevel="1" x14ac:dyDescent="0.35">
      <c r="A26" s="1" t="s">
        <v>5</v>
      </c>
      <c r="B26" s="2">
        <v>5</v>
      </c>
      <c r="C26" s="2">
        <v>7</v>
      </c>
      <c r="D26" s="2">
        <v>4</v>
      </c>
      <c r="E26" s="2">
        <v>8</v>
      </c>
      <c r="F26" s="2">
        <v>6</v>
      </c>
      <c r="G26" s="13">
        <v>7</v>
      </c>
      <c r="H26" s="10">
        <v>4</v>
      </c>
      <c r="I26" s="16">
        <v>12</v>
      </c>
      <c r="J26" s="2">
        <v>11</v>
      </c>
      <c r="K26" s="1">
        <f t="shared" ref="K26:K33" si="7">SUM(B26:J26)</f>
        <v>64</v>
      </c>
      <c r="L26" s="1">
        <v>25.5</v>
      </c>
      <c r="M26" s="1">
        <f>K26-L26</f>
        <v>38.5</v>
      </c>
      <c r="N26" s="2"/>
      <c r="O26" s="2"/>
      <c r="P26" s="13"/>
      <c r="Q26" s="2"/>
      <c r="R26" s="16"/>
      <c r="S26" s="10"/>
      <c r="T26" s="2"/>
      <c r="U26" s="2"/>
      <c r="V26" s="2"/>
      <c r="W26" s="1">
        <f t="shared" ref="W26:W33" si="8">SUM(N26:V26)</f>
        <v>0</v>
      </c>
      <c r="X26" s="1">
        <v>25.5</v>
      </c>
      <c r="Y26" s="1">
        <f>W26-X26</f>
        <v>-25.5</v>
      </c>
    </row>
    <row r="27" spans="1:26" x14ac:dyDescent="0.35">
      <c r="A27" s="1" t="s">
        <v>6</v>
      </c>
      <c r="B27" s="2">
        <v>4</v>
      </c>
      <c r="C27" s="2">
        <v>4</v>
      </c>
      <c r="D27" s="2">
        <v>6</v>
      </c>
      <c r="E27" s="2">
        <v>6</v>
      </c>
      <c r="F27" s="2">
        <v>5</v>
      </c>
      <c r="G27" s="13">
        <v>5</v>
      </c>
      <c r="H27" s="10">
        <v>3</v>
      </c>
      <c r="I27" s="16">
        <v>6</v>
      </c>
      <c r="J27" s="2">
        <v>4</v>
      </c>
      <c r="K27" s="1">
        <f t="shared" si="7"/>
        <v>43</v>
      </c>
      <c r="L27" s="1">
        <v>10.5</v>
      </c>
      <c r="M27" s="1">
        <f t="shared" ref="M27:M33" si="9">K27-L27</f>
        <v>32.5</v>
      </c>
      <c r="N27" s="2">
        <v>6</v>
      </c>
      <c r="O27" s="2">
        <v>6</v>
      </c>
      <c r="P27" s="13">
        <v>6</v>
      </c>
      <c r="Q27" s="2">
        <v>5</v>
      </c>
      <c r="R27" s="16">
        <v>7</v>
      </c>
      <c r="S27" s="10">
        <v>5</v>
      </c>
      <c r="T27" s="2">
        <v>5</v>
      </c>
      <c r="U27" s="2">
        <v>6</v>
      </c>
      <c r="V27" s="2">
        <v>6</v>
      </c>
      <c r="W27" s="1">
        <f t="shared" si="8"/>
        <v>52</v>
      </c>
      <c r="X27" s="1">
        <v>10.5</v>
      </c>
      <c r="Y27" s="1">
        <f t="shared" ref="Y27:Y33" si="10">W27-X27</f>
        <v>41.5</v>
      </c>
    </row>
    <row r="28" spans="1:26" x14ac:dyDescent="0.35">
      <c r="A28" s="1" t="s">
        <v>7</v>
      </c>
      <c r="B28" s="2">
        <v>5</v>
      </c>
      <c r="C28" s="2">
        <v>5</v>
      </c>
      <c r="D28" s="2">
        <v>4</v>
      </c>
      <c r="E28" s="2">
        <v>5</v>
      </c>
      <c r="F28" s="2">
        <v>4</v>
      </c>
      <c r="G28" s="13">
        <v>3</v>
      </c>
      <c r="H28" s="10">
        <v>4</v>
      </c>
      <c r="I28" s="16">
        <v>9</v>
      </c>
      <c r="J28" s="2">
        <v>4</v>
      </c>
      <c r="K28" s="1">
        <f t="shared" si="7"/>
        <v>43</v>
      </c>
      <c r="L28" s="1">
        <v>7</v>
      </c>
      <c r="M28" s="1">
        <f t="shared" si="9"/>
        <v>36</v>
      </c>
      <c r="N28" s="2">
        <v>4</v>
      </c>
      <c r="O28" s="2">
        <v>7</v>
      </c>
      <c r="P28" s="13">
        <v>5</v>
      </c>
      <c r="Q28" s="2">
        <v>3</v>
      </c>
      <c r="R28" s="16">
        <v>5</v>
      </c>
      <c r="S28" s="10">
        <v>3</v>
      </c>
      <c r="T28" s="2">
        <v>6</v>
      </c>
      <c r="U28" s="2">
        <v>7</v>
      </c>
      <c r="V28" s="2">
        <v>4</v>
      </c>
      <c r="W28" s="1">
        <f t="shared" si="8"/>
        <v>44</v>
      </c>
      <c r="X28" s="1">
        <v>7</v>
      </c>
      <c r="Y28" s="1">
        <f t="shared" si="10"/>
        <v>37</v>
      </c>
    </row>
    <row r="29" spans="1:26" x14ac:dyDescent="0.35">
      <c r="A29" s="1" t="s">
        <v>0</v>
      </c>
      <c r="B29" s="2">
        <v>7</v>
      </c>
      <c r="C29" s="2">
        <v>5</v>
      </c>
      <c r="D29" s="2">
        <v>6</v>
      </c>
      <c r="E29" s="2">
        <v>9</v>
      </c>
      <c r="F29" s="2">
        <v>6</v>
      </c>
      <c r="G29" s="13">
        <v>8</v>
      </c>
      <c r="H29" s="10">
        <v>5</v>
      </c>
      <c r="I29" s="16">
        <v>10</v>
      </c>
      <c r="J29" s="2">
        <v>6</v>
      </c>
      <c r="K29" s="1">
        <f t="shared" si="7"/>
        <v>62</v>
      </c>
      <c r="L29" s="1">
        <v>22</v>
      </c>
      <c r="M29" s="1">
        <f t="shared" si="9"/>
        <v>40</v>
      </c>
      <c r="N29" s="2">
        <v>6</v>
      </c>
      <c r="O29" s="2">
        <v>7</v>
      </c>
      <c r="P29" s="13">
        <v>6</v>
      </c>
      <c r="Q29" s="2">
        <v>5</v>
      </c>
      <c r="R29" s="16">
        <v>8</v>
      </c>
      <c r="S29" s="10">
        <v>8</v>
      </c>
      <c r="T29" s="2">
        <v>8</v>
      </c>
      <c r="U29" s="2">
        <v>7</v>
      </c>
      <c r="V29" s="2">
        <v>6</v>
      </c>
      <c r="W29" s="1">
        <f t="shared" si="8"/>
        <v>61</v>
      </c>
      <c r="X29" s="1">
        <v>22</v>
      </c>
      <c r="Y29" s="1">
        <f t="shared" si="10"/>
        <v>39</v>
      </c>
    </row>
    <row r="30" spans="1:26" x14ac:dyDescent="0.35">
      <c r="A30" s="1" t="s">
        <v>2</v>
      </c>
      <c r="B30" s="2">
        <v>5</v>
      </c>
      <c r="C30" s="2">
        <v>4</v>
      </c>
      <c r="D30" s="2">
        <v>3</v>
      </c>
      <c r="E30" s="2">
        <v>6</v>
      </c>
      <c r="F30" s="2">
        <v>3</v>
      </c>
      <c r="G30" s="13">
        <v>9</v>
      </c>
      <c r="H30" s="10">
        <v>4</v>
      </c>
      <c r="I30" s="16">
        <v>5</v>
      </c>
      <c r="J30" s="2">
        <v>5</v>
      </c>
      <c r="K30" s="1">
        <f t="shared" si="7"/>
        <v>44</v>
      </c>
      <c r="L30" s="1">
        <v>12.5</v>
      </c>
      <c r="M30" s="1">
        <f t="shared" si="9"/>
        <v>31.5</v>
      </c>
      <c r="N30" s="2">
        <v>4</v>
      </c>
      <c r="O30" s="2">
        <v>6</v>
      </c>
      <c r="P30" s="13">
        <v>5</v>
      </c>
      <c r="Q30" s="2">
        <v>4</v>
      </c>
      <c r="R30" s="16">
        <v>5</v>
      </c>
      <c r="S30" s="10">
        <v>3</v>
      </c>
      <c r="T30" s="2">
        <v>4</v>
      </c>
      <c r="U30" s="2">
        <v>6</v>
      </c>
      <c r="V30" s="2">
        <v>5</v>
      </c>
      <c r="W30" s="1">
        <f t="shared" si="8"/>
        <v>42</v>
      </c>
      <c r="X30" s="1">
        <v>12.5</v>
      </c>
      <c r="Y30" s="1">
        <f t="shared" si="10"/>
        <v>29.5</v>
      </c>
    </row>
    <row r="31" spans="1:26" x14ac:dyDescent="0.35">
      <c r="A31" s="1" t="s">
        <v>3</v>
      </c>
      <c r="B31" s="2">
        <v>6</v>
      </c>
      <c r="C31" s="2">
        <v>5</v>
      </c>
      <c r="D31" s="2">
        <v>4</v>
      </c>
      <c r="E31" s="2">
        <v>5</v>
      </c>
      <c r="F31" s="2">
        <v>4</v>
      </c>
      <c r="G31" s="13">
        <v>5</v>
      </c>
      <c r="H31" s="10">
        <v>4</v>
      </c>
      <c r="I31" s="16">
        <v>5</v>
      </c>
      <c r="J31" s="2">
        <v>4</v>
      </c>
      <c r="K31" s="1">
        <f t="shared" si="7"/>
        <v>42</v>
      </c>
      <c r="L31" s="1">
        <v>12</v>
      </c>
      <c r="M31" s="1">
        <f t="shared" si="9"/>
        <v>30</v>
      </c>
      <c r="N31" s="2">
        <v>4</v>
      </c>
      <c r="O31" s="2">
        <v>7</v>
      </c>
      <c r="P31" s="13">
        <v>5</v>
      </c>
      <c r="Q31" s="2">
        <v>3</v>
      </c>
      <c r="R31" s="16">
        <v>7</v>
      </c>
      <c r="S31" s="10">
        <v>4</v>
      </c>
      <c r="T31" s="2">
        <v>4</v>
      </c>
      <c r="U31" s="2">
        <v>6</v>
      </c>
      <c r="V31" s="2">
        <v>5</v>
      </c>
      <c r="W31" s="1">
        <f t="shared" si="8"/>
        <v>45</v>
      </c>
      <c r="X31" s="1">
        <v>12</v>
      </c>
      <c r="Y31" s="1">
        <f t="shared" si="10"/>
        <v>33</v>
      </c>
    </row>
    <row r="32" spans="1:26" x14ac:dyDescent="0.35">
      <c r="A32" s="1" t="s">
        <v>4</v>
      </c>
      <c r="B32" s="2">
        <v>5</v>
      </c>
      <c r="C32" s="2">
        <v>5</v>
      </c>
      <c r="D32" s="2">
        <v>5</v>
      </c>
      <c r="E32" s="2">
        <v>7</v>
      </c>
      <c r="F32" s="2">
        <v>5</v>
      </c>
      <c r="G32" s="13">
        <v>5</v>
      </c>
      <c r="H32" s="10">
        <v>5</v>
      </c>
      <c r="I32" s="16">
        <v>7</v>
      </c>
      <c r="J32" s="2">
        <v>5</v>
      </c>
      <c r="K32" s="1">
        <f t="shared" si="7"/>
        <v>49</v>
      </c>
      <c r="L32" s="1">
        <v>12.5</v>
      </c>
      <c r="M32" s="1">
        <f t="shared" si="9"/>
        <v>36.5</v>
      </c>
      <c r="N32" s="2">
        <v>6</v>
      </c>
      <c r="O32" s="2">
        <v>5</v>
      </c>
      <c r="P32" s="13">
        <v>5</v>
      </c>
      <c r="Q32" s="2">
        <v>5</v>
      </c>
      <c r="R32" s="16">
        <v>6</v>
      </c>
      <c r="S32" s="10">
        <v>4</v>
      </c>
      <c r="T32" s="2">
        <v>4</v>
      </c>
      <c r="U32" s="2">
        <v>5</v>
      </c>
      <c r="V32" s="2">
        <v>6</v>
      </c>
      <c r="W32" s="1">
        <f t="shared" si="8"/>
        <v>46</v>
      </c>
      <c r="X32" s="1">
        <v>12.5</v>
      </c>
      <c r="Y32" s="1">
        <f t="shared" si="10"/>
        <v>33.5</v>
      </c>
    </row>
    <row r="33" spans="1:25" x14ac:dyDescent="0.35">
      <c r="A33" s="1" t="s">
        <v>8</v>
      </c>
      <c r="B33" s="2"/>
      <c r="C33" s="2"/>
      <c r="D33" s="2"/>
      <c r="E33" s="2"/>
      <c r="F33" s="2"/>
      <c r="G33" s="13"/>
      <c r="H33" s="10"/>
      <c r="I33" s="16"/>
      <c r="J33" s="2"/>
      <c r="K33" s="1">
        <f t="shared" si="7"/>
        <v>0</v>
      </c>
      <c r="L33" s="1">
        <v>23</v>
      </c>
      <c r="M33" s="1">
        <f t="shared" si="9"/>
        <v>-23</v>
      </c>
      <c r="N33" s="2">
        <v>6</v>
      </c>
      <c r="O33" s="2">
        <v>8</v>
      </c>
      <c r="P33" s="13">
        <v>7</v>
      </c>
      <c r="Q33" s="2">
        <v>6</v>
      </c>
      <c r="R33" s="16">
        <v>8</v>
      </c>
      <c r="S33" s="10">
        <v>4</v>
      </c>
      <c r="T33" s="2">
        <v>8</v>
      </c>
      <c r="U33" s="2">
        <v>7</v>
      </c>
      <c r="V33" s="2">
        <v>8</v>
      </c>
      <c r="W33" s="1">
        <f t="shared" si="8"/>
        <v>62</v>
      </c>
      <c r="X33" s="1">
        <v>23</v>
      </c>
      <c r="Y33" s="1">
        <f t="shared" si="10"/>
        <v>39</v>
      </c>
    </row>
    <row r="34" spans="1:25" x14ac:dyDescent="0.35">
      <c r="D34" s="1" t="s">
        <v>39</v>
      </c>
      <c r="H34" s="9" t="s">
        <v>38</v>
      </c>
      <c r="Q34" s="1" t="s">
        <v>21</v>
      </c>
      <c r="R34" s="6"/>
      <c r="S34" s="9" t="s">
        <v>22</v>
      </c>
    </row>
    <row r="36" spans="1:25" x14ac:dyDescent="0.35">
      <c r="A36" s="1" t="s">
        <v>44</v>
      </c>
      <c r="B36" s="1">
        <v>1</v>
      </c>
      <c r="C36" s="1">
        <v>2</v>
      </c>
      <c r="D36" s="1">
        <v>3</v>
      </c>
      <c r="E36" s="9">
        <v>4</v>
      </c>
      <c r="F36" s="1">
        <v>5</v>
      </c>
      <c r="G36" s="11">
        <v>6</v>
      </c>
      <c r="H36" s="1">
        <v>7</v>
      </c>
      <c r="I36" s="14">
        <v>8</v>
      </c>
      <c r="J36" s="1">
        <v>9</v>
      </c>
      <c r="K36" s="1" t="s">
        <v>9</v>
      </c>
      <c r="L36" s="1" t="s">
        <v>14</v>
      </c>
      <c r="M36" s="1" t="s">
        <v>20</v>
      </c>
      <c r="N36" s="1">
        <v>10</v>
      </c>
      <c r="O36" s="1">
        <v>11</v>
      </c>
      <c r="P36" s="11">
        <v>12</v>
      </c>
      <c r="Q36" s="1">
        <v>13</v>
      </c>
      <c r="R36" s="14">
        <v>14</v>
      </c>
      <c r="S36" s="11">
        <v>15</v>
      </c>
      <c r="T36" s="9">
        <v>16</v>
      </c>
      <c r="U36" s="14">
        <v>17</v>
      </c>
      <c r="V36" s="1">
        <v>18</v>
      </c>
      <c r="W36" s="1" t="s">
        <v>9</v>
      </c>
      <c r="X36" s="1" t="s">
        <v>14</v>
      </c>
      <c r="Y36" s="1" t="s">
        <v>20</v>
      </c>
    </row>
    <row r="37" spans="1:25" x14ac:dyDescent="0.35">
      <c r="A37" s="1" t="s">
        <v>15</v>
      </c>
      <c r="B37" s="1">
        <v>4</v>
      </c>
      <c r="C37" s="1">
        <v>4</v>
      </c>
      <c r="D37" s="1">
        <v>5</v>
      </c>
      <c r="E37" s="9">
        <v>3</v>
      </c>
      <c r="F37" s="1">
        <v>4</v>
      </c>
      <c r="G37" s="11">
        <v>4</v>
      </c>
      <c r="H37" s="1">
        <v>3</v>
      </c>
      <c r="I37" s="14">
        <v>4</v>
      </c>
      <c r="J37" s="1">
        <v>4</v>
      </c>
      <c r="K37" s="1">
        <f>SUM(B37:J37)</f>
        <v>35</v>
      </c>
      <c r="L37" s="7"/>
      <c r="M37" s="7"/>
      <c r="N37" s="1">
        <v>4</v>
      </c>
      <c r="O37" s="1">
        <v>4</v>
      </c>
      <c r="P37" s="11">
        <v>3</v>
      </c>
      <c r="Q37" s="1">
        <v>5</v>
      </c>
      <c r="R37" s="14">
        <v>4</v>
      </c>
      <c r="S37" s="11">
        <v>5</v>
      </c>
      <c r="T37" s="9">
        <v>3</v>
      </c>
      <c r="U37" s="14">
        <v>4</v>
      </c>
      <c r="V37" s="1">
        <v>4</v>
      </c>
      <c r="W37" s="1">
        <f>SUM(N37:V37)</f>
        <v>36</v>
      </c>
      <c r="X37" s="8"/>
      <c r="Y37" s="7"/>
    </row>
    <row r="38" spans="1:25" x14ac:dyDescent="0.35">
      <c r="A38" s="1" t="s">
        <v>1</v>
      </c>
      <c r="B38" s="5"/>
      <c r="C38" s="5"/>
      <c r="D38" s="5"/>
      <c r="E38" s="5"/>
      <c r="F38" s="5"/>
      <c r="G38" s="12"/>
      <c r="H38" s="5"/>
      <c r="I38" s="15"/>
      <c r="J38" s="5"/>
      <c r="K38" s="5"/>
      <c r="L38" s="5"/>
      <c r="M38" s="5"/>
      <c r="N38" s="5"/>
      <c r="O38" s="5"/>
      <c r="P38" s="12"/>
      <c r="Q38" s="5"/>
      <c r="R38" s="15"/>
      <c r="S38" s="12"/>
      <c r="T38" s="5"/>
      <c r="U38" s="15"/>
      <c r="V38" s="5"/>
      <c r="W38" s="5"/>
      <c r="X38" s="5"/>
      <c r="Y38" s="5"/>
    </row>
    <row r="39" spans="1:25" x14ac:dyDescent="0.35">
      <c r="A39" s="1" t="s">
        <v>5</v>
      </c>
      <c r="B39" s="2"/>
      <c r="C39" s="2"/>
      <c r="D39" s="2"/>
      <c r="E39" s="10"/>
      <c r="F39" s="2"/>
      <c r="G39" s="13"/>
      <c r="H39" s="2"/>
      <c r="I39" s="16"/>
      <c r="J39" s="2"/>
      <c r="K39" s="1">
        <f t="shared" ref="K39:K46" si="11">SUM(B39:J39)</f>
        <v>0</v>
      </c>
      <c r="L39" s="1">
        <v>25.5</v>
      </c>
      <c r="M39" s="1">
        <f>K39-L39</f>
        <v>-25.5</v>
      </c>
      <c r="N39" s="2">
        <v>5</v>
      </c>
      <c r="O39" s="2">
        <v>6</v>
      </c>
      <c r="P39" s="13">
        <v>5</v>
      </c>
      <c r="Q39" s="2">
        <v>8</v>
      </c>
      <c r="R39" s="16">
        <v>9</v>
      </c>
      <c r="S39" s="13">
        <v>9</v>
      </c>
      <c r="T39" s="10">
        <v>3</v>
      </c>
      <c r="U39" s="16">
        <v>5</v>
      </c>
      <c r="V39" s="2">
        <v>10</v>
      </c>
      <c r="W39" s="1">
        <f t="shared" ref="W39:W46" si="12">SUM(N39:V39)</f>
        <v>60</v>
      </c>
      <c r="X39" s="1">
        <v>25.5</v>
      </c>
      <c r="Y39" s="1">
        <f>W39-X39</f>
        <v>34.5</v>
      </c>
    </row>
    <row r="40" spans="1:25" x14ac:dyDescent="0.35">
      <c r="A40" s="1" t="s">
        <v>6</v>
      </c>
      <c r="B40" s="2">
        <v>5</v>
      </c>
      <c r="C40" s="2">
        <v>6</v>
      </c>
      <c r="D40" s="2">
        <v>7</v>
      </c>
      <c r="E40" s="10">
        <v>6</v>
      </c>
      <c r="F40" s="2">
        <v>4</v>
      </c>
      <c r="G40" s="13">
        <v>6</v>
      </c>
      <c r="H40" s="2">
        <v>5</v>
      </c>
      <c r="I40" s="16">
        <v>5</v>
      </c>
      <c r="J40" s="2">
        <v>5</v>
      </c>
      <c r="K40" s="1">
        <f t="shared" si="11"/>
        <v>49</v>
      </c>
      <c r="L40" s="1">
        <v>10.5</v>
      </c>
      <c r="M40" s="1">
        <f t="shared" ref="M40:M46" si="13">K40-L40</f>
        <v>38.5</v>
      </c>
      <c r="N40" s="2"/>
      <c r="O40" s="2"/>
      <c r="P40" s="13"/>
      <c r="Q40" s="2"/>
      <c r="R40" s="16"/>
      <c r="S40" s="13"/>
      <c r="T40" s="10"/>
      <c r="U40" s="16"/>
      <c r="V40" s="2"/>
      <c r="W40" s="1">
        <f t="shared" si="12"/>
        <v>0</v>
      </c>
      <c r="X40" s="1">
        <v>10.5</v>
      </c>
      <c r="Y40" s="1">
        <f t="shared" ref="Y40:Y46" si="14">W40-X40</f>
        <v>-10.5</v>
      </c>
    </row>
    <row r="41" spans="1:25" x14ac:dyDescent="0.35">
      <c r="A41" s="1" t="s">
        <v>7</v>
      </c>
      <c r="B41" s="2">
        <v>5</v>
      </c>
      <c r="C41" s="2">
        <v>5</v>
      </c>
      <c r="D41" s="2">
        <v>6</v>
      </c>
      <c r="E41" s="10">
        <v>3</v>
      </c>
      <c r="F41" s="2">
        <v>4</v>
      </c>
      <c r="G41" s="13">
        <v>4</v>
      </c>
      <c r="H41" s="2">
        <v>3</v>
      </c>
      <c r="I41" s="16">
        <v>4</v>
      </c>
      <c r="J41" s="2">
        <v>5</v>
      </c>
      <c r="K41" s="1">
        <f t="shared" si="11"/>
        <v>39</v>
      </c>
      <c r="L41" s="1">
        <v>7</v>
      </c>
      <c r="M41" s="1">
        <f t="shared" si="13"/>
        <v>32</v>
      </c>
      <c r="N41" s="2">
        <v>4</v>
      </c>
      <c r="O41" s="2">
        <v>5</v>
      </c>
      <c r="P41" s="13">
        <v>3</v>
      </c>
      <c r="Q41" s="2">
        <v>5</v>
      </c>
      <c r="R41" s="16">
        <v>6</v>
      </c>
      <c r="S41" s="13">
        <v>5</v>
      </c>
      <c r="T41" s="10">
        <v>4</v>
      </c>
      <c r="U41" s="16">
        <v>6</v>
      </c>
      <c r="V41" s="2">
        <v>4</v>
      </c>
      <c r="W41" s="1">
        <f t="shared" si="12"/>
        <v>42</v>
      </c>
      <c r="X41" s="1">
        <v>7</v>
      </c>
      <c r="Y41" s="1">
        <f t="shared" si="14"/>
        <v>35</v>
      </c>
    </row>
    <row r="42" spans="1:25" x14ac:dyDescent="0.35">
      <c r="A42" s="1" t="s">
        <v>0</v>
      </c>
      <c r="B42" s="2">
        <v>10</v>
      </c>
      <c r="C42" s="2">
        <v>5</v>
      </c>
      <c r="D42" s="2">
        <v>8</v>
      </c>
      <c r="E42" s="10">
        <v>5</v>
      </c>
      <c r="F42" s="2">
        <v>7</v>
      </c>
      <c r="G42" s="13">
        <v>6</v>
      </c>
      <c r="H42" s="2">
        <v>4</v>
      </c>
      <c r="I42" s="16">
        <v>6</v>
      </c>
      <c r="J42" s="2">
        <v>9</v>
      </c>
      <c r="K42" s="1">
        <f t="shared" si="11"/>
        <v>60</v>
      </c>
      <c r="L42" s="1">
        <v>22</v>
      </c>
      <c r="M42" s="1">
        <f t="shared" si="13"/>
        <v>38</v>
      </c>
      <c r="N42" s="2">
        <v>5</v>
      </c>
      <c r="O42" s="2">
        <v>7</v>
      </c>
      <c r="P42" s="13">
        <v>3</v>
      </c>
      <c r="Q42" s="2">
        <v>7</v>
      </c>
      <c r="R42" s="16">
        <v>9</v>
      </c>
      <c r="S42" s="13">
        <v>8</v>
      </c>
      <c r="T42" s="10">
        <v>5</v>
      </c>
      <c r="U42" s="16">
        <v>10</v>
      </c>
      <c r="V42" s="2">
        <v>6</v>
      </c>
      <c r="W42" s="1">
        <f t="shared" si="12"/>
        <v>60</v>
      </c>
      <c r="X42" s="1">
        <v>22</v>
      </c>
      <c r="Y42" s="1">
        <f t="shared" si="14"/>
        <v>38</v>
      </c>
    </row>
    <row r="43" spans="1:25" x14ac:dyDescent="0.35">
      <c r="A43" s="1" t="s">
        <v>2</v>
      </c>
      <c r="B43" s="2">
        <v>4</v>
      </c>
      <c r="C43" s="2">
        <v>5</v>
      </c>
      <c r="D43" s="2">
        <v>6</v>
      </c>
      <c r="E43" s="10">
        <v>3</v>
      </c>
      <c r="F43" s="2">
        <v>5</v>
      </c>
      <c r="G43" s="13">
        <v>4</v>
      </c>
      <c r="H43" s="2">
        <v>3</v>
      </c>
      <c r="I43" s="16">
        <v>3</v>
      </c>
      <c r="J43" s="2">
        <v>5</v>
      </c>
      <c r="K43" s="1">
        <f t="shared" si="11"/>
        <v>38</v>
      </c>
      <c r="L43" s="1">
        <v>12.5</v>
      </c>
      <c r="M43" s="1">
        <f t="shared" si="13"/>
        <v>25.5</v>
      </c>
      <c r="N43" s="2">
        <v>4</v>
      </c>
      <c r="O43" s="2">
        <v>6</v>
      </c>
      <c r="P43" s="13">
        <v>4</v>
      </c>
      <c r="Q43" s="2">
        <v>5</v>
      </c>
      <c r="R43" s="16">
        <v>6</v>
      </c>
      <c r="S43" s="13">
        <v>4</v>
      </c>
      <c r="T43" s="10">
        <v>4</v>
      </c>
      <c r="U43" s="16">
        <v>4</v>
      </c>
      <c r="V43" s="2">
        <v>4</v>
      </c>
      <c r="W43" s="1">
        <f t="shared" si="12"/>
        <v>41</v>
      </c>
      <c r="X43" s="1">
        <v>12.5</v>
      </c>
      <c r="Y43" s="1">
        <f t="shared" si="14"/>
        <v>28.5</v>
      </c>
    </row>
    <row r="44" spans="1:25" x14ac:dyDescent="0.35">
      <c r="A44" s="1" t="s">
        <v>3</v>
      </c>
      <c r="B44" s="2">
        <v>7</v>
      </c>
      <c r="C44" s="2">
        <v>5</v>
      </c>
      <c r="D44" s="2">
        <v>5</v>
      </c>
      <c r="E44" s="10">
        <v>3</v>
      </c>
      <c r="F44" s="2">
        <v>4</v>
      </c>
      <c r="G44" s="13">
        <v>4</v>
      </c>
      <c r="H44" s="2">
        <v>4</v>
      </c>
      <c r="I44" s="16">
        <v>5</v>
      </c>
      <c r="J44" s="2">
        <v>5</v>
      </c>
      <c r="K44" s="1">
        <f t="shared" si="11"/>
        <v>42</v>
      </c>
      <c r="L44" s="1">
        <v>12</v>
      </c>
      <c r="M44" s="1">
        <f t="shared" si="13"/>
        <v>30</v>
      </c>
      <c r="N44" s="2">
        <v>5</v>
      </c>
      <c r="O44" s="2">
        <v>5</v>
      </c>
      <c r="P44" s="13">
        <v>5</v>
      </c>
      <c r="Q44" s="2">
        <v>5</v>
      </c>
      <c r="R44" s="16">
        <v>5</v>
      </c>
      <c r="S44" s="13">
        <v>6</v>
      </c>
      <c r="T44" s="10">
        <v>3</v>
      </c>
      <c r="U44" s="16">
        <v>4</v>
      </c>
      <c r="V44" s="2">
        <v>8</v>
      </c>
      <c r="W44" s="1">
        <f t="shared" si="12"/>
        <v>46</v>
      </c>
      <c r="X44" s="1">
        <v>12</v>
      </c>
      <c r="Y44" s="1">
        <f t="shared" si="14"/>
        <v>34</v>
      </c>
    </row>
    <row r="45" spans="1:25" x14ac:dyDescent="0.35">
      <c r="A45" s="1" t="s">
        <v>4</v>
      </c>
      <c r="B45" s="2">
        <v>4</v>
      </c>
      <c r="C45" s="2">
        <v>4</v>
      </c>
      <c r="D45" s="2">
        <v>6</v>
      </c>
      <c r="E45" s="10">
        <v>4</v>
      </c>
      <c r="F45" s="2">
        <v>4</v>
      </c>
      <c r="G45" s="13">
        <v>4</v>
      </c>
      <c r="H45" s="2">
        <v>3</v>
      </c>
      <c r="I45" s="16">
        <v>5</v>
      </c>
      <c r="J45" s="2">
        <v>5</v>
      </c>
      <c r="K45" s="1">
        <f t="shared" si="11"/>
        <v>39</v>
      </c>
      <c r="L45" s="1">
        <v>12.5</v>
      </c>
      <c r="M45" s="1">
        <f t="shared" si="13"/>
        <v>26.5</v>
      </c>
      <c r="N45" s="2">
        <v>5</v>
      </c>
      <c r="O45" s="2">
        <v>5</v>
      </c>
      <c r="P45" s="13">
        <v>6</v>
      </c>
      <c r="Q45" s="2">
        <v>5</v>
      </c>
      <c r="R45" s="16">
        <v>5</v>
      </c>
      <c r="S45" s="13">
        <v>8</v>
      </c>
      <c r="T45" s="10">
        <v>5</v>
      </c>
      <c r="U45" s="16">
        <v>5</v>
      </c>
      <c r="V45" s="2">
        <v>6</v>
      </c>
      <c r="W45" s="1">
        <f t="shared" si="12"/>
        <v>50</v>
      </c>
      <c r="X45" s="1">
        <v>12.5</v>
      </c>
      <c r="Y45" s="1">
        <f t="shared" si="14"/>
        <v>37.5</v>
      </c>
    </row>
    <row r="46" spans="1:25" x14ac:dyDescent="0.35">
      <c r="A46" s="1" t="s">
        <v>8</v>
      </c>
      <c r="B46" s="2">
        <v>8</v>
      </c>
      <c r="C46" s="2">
        <v>5</v>
      </c>
      <c r="D46" s="2">
        <v>8</v>
      </c>
      <c r="E46" s="10">
        <v>4</v>
      </c>
      <c r="F46" s="2">
        <v>6</v>
      </c>
      <c r="G46" s="13">
        <v>4</v>
      </c>
      <c r="H46" s="2">
        <v>3</v>
      </c>
      <c r="I46" s="16">
        <v>7</v>
      </c>
      <c r="J46" s="2">
        <v>7</v>
      </c>
      <c r="K46" s="1">
        <f t="shared" si="11"/>
        <v>52</v>
      </c>
      <c r="L46" s="1">
        <v>23</v>
      </c>
      <c r="M46" s="1">
        <f t="shared" si="13"/>
        <v>29</v>
      </c>
      <c r="N46" s="2">
        <v>6</v>
      </c>
      <c r="O46" s="2">
        <v>6</v>
      </c>
      <c r="P46" s="13">
        <v>4</v>
      </c>
      <c r="Q46" s="2">
        <v>9</v>
      </c>
      <c r="R46" s="16">
        <v>7</v>
      </c>
      <c r="S46" s="13">
        <v>10</v>
      </c>
      <c r="T46" s="10">
        <v>5</v>
      </c>
      <c r="U46" s="16">
        <v>8</v>
      </c>
      <c r="V46" s="2">
        <v>6</v>
      </c>
      <c r="W46" s="1">
        <f t="shared" si="12"/>
        <v>61</v>
      </c>
      <c r="X46" s="1">
        <v>23</v>
      </c>
      <c r="Y46" s="1">
        <f t="shared" si="14"/>
        <v>38</v>
      </c>
    </row>
    <row r="47" spans="1:25" x14ac:dyDescent="0.35">
      <c r="E47" s="9" t="s">
        <v>45</v>
      </c>
      <c r="T47" s="9" t="s">
        <v>46</v>
      </c>
    </row>
    <row r="49" spans="1:25" x14ac:dyDescent="0.35">
      <c r="A49" s="1" t="s">
        <v>47</v>
      </c>
      <c r="B49" s="1">
        <v>1</v>
      </c>
      <c r="C49" s="1">
        <v>2</v>
      </c>
      <c r="D49" s="1">
        <v>3</v>
      </c>
      <c r="E49" s="1">
        <v>4</v>
      </c>
      <c r="F49" s="9">
        <v>5</v>
      </c>
      <c r="G49" s="11">
        <v>6</v>
      </c>
      <c r="H49" s="1">
        <v>7</v>
      </c>
      <c r="I49" s="14">
        <v>8</v>
      </c>
      <c r="J49" s="1">
        <v>9</v>
      </c>
      <c r="K49" s="1" t="s">
        <v>9</v>
      </c>
      <c r="L49" s="1" t="s">
        <v>14</v>
      </c>
      <c r="M49" s="1" t="s">
        <v>20</v>
      </c>
      <c r="N49" s="1">
        <v>10</v>
      </c>
      <c r="O49" s="1">
        <v>11</v>
      </c>
      <c r="P49" s="9">
        <v>12</v>
      </c>
      <c r="Q49" s="1">
        <v>13</v>
      </c>
      <c r="R49" s="14">
        <v>14</v>
      </c>
      <c r="S49" s="11">
        <v>15</v>
      </c>
      <c r="T49" s="1">
        <v>16</v>
      </c>
      <c r="U49" s="14">
        <v>17</v>
      </c>
      <c r="V49" s="1">
        <v>18</v>
      </c>
      <c r="W49" s="1" t="s">
        <v>9</v>
      </c>
      <c r="X49" s="1" t="s">
        <v>14</v>
      </c>
      <c r="Y49" s="1" t="s">
        <v>20</v>
      </c>
    </row>
    <row r="50" spans="1:25" x14ac:dyDescent="0.35">
      <c r="A50" s="1" t="s">
        <v>15</v>
      </c>
      <c r="B50" s="1">
        <v>4</v>
      </c>
      <c r="C50" s="1">
        <v>3</v>
      </c>
      <c r="D50" s="1">
        <v>5</v>
      </c>
      <c r="E50" s="1">
        <v>4</v>
      </c>
      <c r="F50" s="9">
        <v>3</v>
      </c>
      <c r="G50" s="11">
        <v>4</v>
      </c>
      <c r="H50" s="1">
        <v>3</v>
      </c>
      <c r="I50" s="14">
        <v>5</v>
      </c>
      <c r="J50" s="1">
        <v>4</v>
      </c>
      <c r="K50" s="1">
        <f>SUM(B50:J50)</f>
        <v>35</v>
      </c>
      <c r="L50" s="7"/>
      <c r="M50" s="7"/>
      <c r="N50" s="1">
        <v>3</v>
      </c>
      <c r="O50" s="1">
        <v>5</v>
      </c>
      <c r="P50" s="9">
        <v>3</v>
      </c>
      <c r="Q50" s="1">
        <v>5</v>
      </c>
      <c r="R50" s="14">
        <v>4</v>
      </c>
      <c r="S50" s="11">
        <v>4</v>
      </c>
      <c r="T50" s="1">
        <v>4</v>
      </c>
      <c r="U50" s="14">
        <v>4</v>
      </c>
      <c r="V50" s="1">
        <v>3</v>
      </c>
      <c r="W50" s="1">
        <f>SUM(N50:V50)</f>
        <v>35</v>
      </c>
      <c r="X50" s="8"/>
      <c r="Y50" s="7"/>
    </row>
    <row r="51" spans="1:25" x14ac:dyDescent="0.35">
      <c r="A51" s="1" t="s">
        <v>1</v>
      </c>
      <c r="B51" s="5"/>
      <c r="C51" s="5"/>
      <c r="D51" s="5"/>
      <c r="E51" s="5"/>
      <c r="F51" s="5"/>
      <c r="G51" s="12"/>
      <c r="H51" s="5"/>
      <c r="I51" s="15"/>
      <c r="J51" s="5"/>
      <c r="K51" s="5"/>
      <c r="L51" s="5"/>
      <c r="M51" s="5"/>
      <c r="N51" s="5"/>
      <c r="O51" s="5"/>
      <c r="P51" s="5"/>
      <c r="Q51" s="5"/>
      <c r="R51" s="15"/>
      <c r="S51" s="12"/>
      <c r="T51" s="5"/>
      <c r="U51" s="15"/>
      <c r="V51" s="5"/>
      <c r="W51" s="5"/>
      <c r="X51" s="5"/>
      <c r="Y51" s="5"/>
    </row>
    <row r="52" spans="1:25" x14ac:dyDescent="0.35">
      <c r="A52" s="1" t="s">
        <v>5</v>
      </c>
      <c r="B52" s="2">
        <v>5</v>
      </c>
      <c r="C52" s="2">
        <v>5</v>
      </c>
      <c r="D52" s="2">
        <v>8</v>
      </c>
      <c r="E52" s="2">
        <v>5</v>
      </c>
      <c r="F52" s="10">
        <v>4</v>
      </c>
      <c r="G52" s="13">
        <v>5</v>
      </c>
      <c r="H52" s="2">
        <v>4</v>
      </c>
      <c r="I52" s="16">
        <v>9</v>
      </c>
      <c r="J52" s="2">
        <v>8</v>
      </c>
      <c r="K52" s="1">
        <f t="shared" ref="K52:K59" si="15">SUM(B52:J52)</f>
        <v>53</v>
      </c>
      <c r="L52" s="1">
        <v>25.5</v>
      </c>
      <c r="M52" s="1">
        <f>K52-L52</f>
        <v>27.5</v>
      </c>
      <c r="N52" s="2">
        <v>4</v>
      </c>
      <c r="O52" s="2">
        <v>10</v>
      </c>
      <c r="P52" s="10">
        <v>3</v>
      </c>
      <c r="Q52" s="2">
        <v>8</v>
      </c>
      <c r="R52" s="16">
        <v>7</v>
      </c>
      <c r="S52" s="13">
        <v>5</v>
      </c>
      <c r="T52" s="2">
        <v>8</v>
      </c>
      <c r="U52" s="16">
        <v>6</v>
      </c>
      <c r="V52" s="2">
        <v>5</v>
      </c>
      <c r="W52" s="1">
        <f t="shared" ref="W52:W59" si="16">SUM(N52:V52)</f>
        <v>56</v>
      </c>
      <c r="X52" s="1">
        <v>25.5</v>
      </c>
      <c r="Y52" s="1">
        <f>W52-X52</f>
        <v>30.5</v>
      </c>
    </row>
    <row r="53" spans="1:25" x14ac:dyDescent="0.35">
      <c r="A53" s="1" t="s">
        <v>6</v>
      </c>
      <c r="B53" s="2">
        <v>4</v>
      </c>
      <c r="C53" s="2">
        <v>6</v>
      </c>
      <c r="D53" s="2">
        <v>8</v>
      </c>
      <c r="E53" s="2">
        <v>6</v>
      </c>
      <c r="F53" s="10">
        <v>4</v>
      </c>
      <c r="G53" s="13">
        <v>7</v>
      </c>
      <c r="H53" s="2">
        <v>5</v>
      </c>
      <c r="I53" s="16">
        <v>13</v>
      </c>
      <c r="J53" s="2">
        <v>5</v>
      </c>
      <c r="K53" s="1">
        <f t="shared" si="15"/>
        <v>58</v>
      </c>
      <c r="L53" s="1">
        <v>10.5</v>
      </c>
      <c r="M53" s="1">
        <f t="shared" ref="M53:M59" si="17">K53-L53</f>
        <v>47.5</v>
      </c>
      <c r="N53" s="2"/>
      <c r="O53" s="2"/>
      <c r="P53" s="10"/>
      <c r="Q53" s="2"/>
      <c r="R53" s="16"/>
      <c r="S53" s="13"/>
      <c r="T53" s="2"/>
      <c r="U53" s="16"/>
      <c r="V53" s="2"/>
      <c r="W53" s="1">
        <f t="shared" si="16"/>
        <v>0</v>
      </c>
      <c r="X53" s="1">
        <v>10.5</v>
      </c>
      <c r="Y53" s="1">
        <f t="shared" ref="Y53:Y59" si="18">W53-X53</f>
        <v>-10.5</v>
      </c>
    </row>
    <row r="54" spans="1:25" x14ac:dyDescent="0.35">
      <c r="A54" s="1" t="s">
        <v>7</v>
      </c>
      <c r="B54" s="2">
        <v>4</v>
      </c>
      <c r="C54" s="2">
        <v>4</v>
      </c>
      <c r="D54" s="2">
        <v>6</v>
      </c>
      <c r="E54" s="2">
        <v>4</v>
      </c>
      <c r="F54" s="10">
        <v>4</v>
      </c>
      <c r="G54" s="13">
        <v>5</v>
      </c>
      <c r="H54" s="2">
        <v>3</v>
      </c>
      <c r="I54" s="16">
        <v>6</v>
      </c>
      <c r="J54" s="2">
        <v>5</v>
      </c>
      <c r="K54" s="1">
        <f t="shared" si="15"/>
        <v>41</v>
      </c>
      <c r="L54" s="1">
        <v>7</v>
      </c>
      <c r="M54" s="1">
        <f t="shared" si="17"/>
        <v>34</v>
      </c>
      <c r="N54" s="2">
        <v>4</v>
      </c>
      <c r="O54" s="2">
        <v>9</v>
      </c>
      <c r="P54" s="10">
        <v>3</v>
      </c>
      <c r="Q54" s="2">
        <v>5</v>
      </c>
      <c r="R54" s="16">
        <v>4</v>
      </c>
      <c r="S54" s="13">
        <v>4</v>
      </c>
      <c r="T54" s="2">
        <v>5</v>
      </c>
      <c r="U54" s="16">
        <v>5</v>
      </c>
      <c r="V54" s="2">
        <v>2</v>
      </c>
      <c r="W54" s="1">
        <f t="shared" si="16"/>
        <v>41</v>
      </c>
      <c r="X54" s="1">
        <v>7</v>
      </c>
      <c r="Y54" s="1">
        <f t="shared" si="18"/>
        <v>34</v>
      </c>
    </row>
    <row r="55" spans="1:25" x14ac:dyDescent="0.35">
      <c r="A55" s="1" t="s">
        <v>0</v>
      </c>
      <c r="B55" s="2">
        <v>5</v>
      </c>
      <c r="C55" s="2">
        <v>6</v>
      </c>
      <c r="D55" s="2">
        <v>8</v>
      </c>
      <c r="E55" s="2">
        <v>6</v>
      </c>
      <c r="F55" s="10">
        <v>5</v>
      </c>
      <c r="G55" s="13">
        <v>8</v>
      </c>
      <c r="H55" s="2">
        <v>3</v>
      </c>
      <c r="I55" s="16">
        <v>9</v>
      </c>
      <c r="J55" s="2">
        <v>6</v>
      </c>
      <c r="K55" s="1">
        <f t="shared" si="15"/>
        <v>56</v>
      </c>
      <c r="L55" s="1">
        <v>22</v>
      </c>
      <c r="M55" s="1">
        <f t="shared" si="17"/>
        <v>34</v>
      </c>
      <c r="N55" s="2">
        <v>5</v>
      </c>
      <c r="O55" s="2">
        <v>10</v>
      </c>
      <c r="P55" s="10">
        <v>7</v>
      </c>
      <c r="Q55" s="2">
        <v>6</v>
      </c>
      <c r="R55" s="16">
        <v>6</v>
      </c>
      <c r="S55" s="13">
        <v>5</v>
      </c>
      <c r="T55" s="2">
        <v>6</v>
      </c>
      <c r="U55" s="16">
        <v>5</v>
      </c>
      <c r="V55" s="2">
        <v>6</v>
      </c>
      <c r="W55" s="1">
        <f t="shared" si="16"/>
        <v>56</v>
      </c>
      <c r="X55" s="1">
        <v>22</v>
      </c>
      <c r="Y55" s="1">
        <f t="shared" si="18"/>
        <v>34</v>
      </c>
    </row>
    <row r="56" spans="1:25" x14ac:dyDescent="0.35">
      <c r="A56" s="1" t="s">
        <v>2</v>
      </c>
      <c r="B56" s="2"/>
      <c r="C56" s="2"/>
      <c r="D56" s="2"/>
      <c r="E56" s="2"/>
      <c r="F56" s="10"/>
      <c r="G56" s="13"/>
      <c r="H56" s="2"/>
      <c r="I56" s="16"/>
      <c r="J56" s="2"/>
      <c r="K56" s="1">
        <f t="shared" si="15"/>
        <v>0</v>
      </c>
      <c r="L56" s="1">
        <v>12.5</v>
      </c>
      <c r="M56" s="1">
        <f t="shared" si="17"/>
        <v>-12.5</v>
      </c>
      <c r="N56" s="2">
        <v>3</v>
      </c>
      <c r="O56" s="2">
        <v>5</v>
      </c>
      <c r="P56" s="10">
        <v>3</v>
      </c>
      <c r="Q56" s="2">
        <v>7</v>
      </c>
      <c r="R56" s="16">
        <v>5</v>
      </c>
      <c r="S56" s="13">
        <v>4</v>
      </c>
      <c r="T56" s="2">
        <v>5</v>
      </c>
      <c r="U56" s="16">
        <v>6</v>
      </c>
      <c r="V56" s="2">
        <v>3</v>
      </c>
      <c r="W56" s="1">
        <f t="shared" si="16"/>
        <v>41</v>
      </c>
      <c r="X56" s="1">
        <v>12.5</v>
      </c>
      <c r="Y56" s="1">
        <f t="shared" si="18"/>
        <v>28.5</v>
      </c>
    </row>
    <row r="57" spans="1:25" x14ac:dyDescent="0.35">
      <c r="A57" s="1" t="s">
        <v>3</v>
      </c>
      <c r="B57" s="2"/>
      <c r="C57" s="2"/>
      <c r="D57" s="2"/>
      <c r="E57" s="2"/>
      <c r="F57" s="10"/>
      <c r="G57" s="13"/>
      <c r="H57" s="2"/>
      <c r="I57" s="16"/>
      <c r="J57" s="2"/>
      <c r="K57" s="1">
        <f t="shared" si="15"/>
        <v>0</v>
      </c>
      <c r="L57" s="1">
        <v>12</v>
      </c>
      <c r="M57" s="1">
        <f t="shared" si="17"/>
        <v>-12</v>
      </c>
      <c r="N57" s="2">
        <v>4</v>
      </c>
      <c r="O57" s="2">
        <v>7</v>
      </c>
      <c r="P57" s="10">
        <v>4</v>
      </c>
      <c r="Q57" s="2">
        <v>4</v>
      </c>
      <c r="R57" s="16">
        <v>7</v>
      </c>
      <c r="S57" s="13">
        <v>4</v>
      </c>
      <c r="T57" s="2">
        <v>5</v>
      </c>
      <c r="U57" s="16">
        <v>5</v>
      </c>
      <c r="V57" s="2">
        <v>4</v>
      </c>
      <c r="W57" s="1">
        <f t="shared" si="16"/>
        <v>44</v>
      </c>
      <c r="X57" s="1">
        <v>12</v>
      </c>
      <c r="Y57" s="1">
        <f t="shared" si="18"/>
        <v>32</v>
      </c>
    </row>
    <row r="58" spans="1:25" x14ac:dyDescent="0.35">
      <c r="A58" s="1" t="s">
        <v>4</v>
      </c>
      <c r="B58" s="2">
        <v>4</v>
      </c>
      <c r="C58" s="2">
        <v>5</v>
      </c>
      <c r="D58" s="2">
        <v>6</v>
      </c>
      <c r="E58" s="2">
        <v>5</v>
      </c>
      <c r="F58" s="10">
        <v>4</v>
      </c>
      <c r="G58" s="13">
        <v>3</v>
      </c>
      <c r="H58" s="2">
        <v>5</v>
      </c>
      <c r="I58" s="16">
        <v>6</v>
      </c>
      <c r="J58" s="2">
        <v>5</v>
      </c>
      <c r="K58" s="1">
        <f t="shared" si="15"/>
        <v>43</v>
      </c>
      <c r="L58" s="1">
        <v>12.5</v>
      </c>
      <c r="M58" s="1">
        <f t="shared" si="17"/>
        <v>30.5</v>
      </c>
      <c r="N58" s="2">
        <v>4</v>
      </c>
      <c r="O58" s="2">
        <v>6</v>
      </c>
      <c r="P58" s="10">
        <v>4</v>
      </c>
      <c r="Q58" s="2">
        <v>7</v>
      </c>
      <c r="R58" s="16">
        <v>5</v>
      </c>
      <c r="S58" s="13">
        <v>3</v>
      </c>
      <c r="T58" s="2">
        <v>4</v>
      </c>
      <c r="U58" s="16">
        <v>6</v>
      </c>
      <c r="V58" s="2">
        <v>6</v>
      </c>
      <c r="W58" s="1">
        <f t="shared" si="16"/>
        <v>45</v>
      </c>
      <c r="X58" s="1">
        <v>12.5</v>
      </c>
      <c r="Y58" s="1">
        <f t="shared" si="18"/>
        <v>32.5</v>
      </c>
    </row>
    <row r="59" spans="1:25" x14ac:dyDescent="0.35">
      <c r="A59" s="1" t="s">
        <v>8</v>
      </c>
      <c r="B59" s="2">
        <v>8</v>
      </c>
      <c r="C59" s="2">
        <v>5</v>
      </c>
      <c r="D59" s="2">
        <v>9</v>
      </c>
      <c r="E59" s="2">
        <v>8</v>
      </c>
      <c r="F59" s="10">
        <v>5</v>
      </c>
      <c r="G59" s="13">
        <v>10</v>
      </c>
      <c r="H59" s="2">
        <v>3</v>
      </c>
      <c r="I59" s="16">
        <v>7</v>
      </c>
      <c r="J59" s="2">
        <v>14</v>
      </c>
      <c r="K59" s="1">
        <f t="shared" si="15"/>
        <v>69</v>
      </c>
      <c r="L59" s="1">
        <v>23</v>
      </c>
      <c r="M59" s="1">
        <f t="shared" si="17"/>
        <v>46</v>
      </c>
      <c r="N59" s="2">
        <v>4</v>
      </c>
      <c r="O59" s="2">
        <v>9</v>
      </c>
      <c r="P59" s="10">
        <v>4</v>
      </c>
      <c r="Q59" s="2">
        <v>7</v>
      </c>
      <c r="R59" s="16">
        <v>6</v>
      </c>
      <c r="S59" s="13">
        <v>5</v>
      </c>
      <c r="T59" s="2">
        <v>9</v>
      </c>
      <c r="U59" s="16">
        <v>7</v>
      </c>
      <c r="V59" s="2">
        <v>3</v>
      </c>
      <c r="W59" s="1">
        <f t="shared" si="16"/>
        <v>54</v>
      </c>
      <c r="X59" s="1">
        <v>23</v>
      </c>
      <c r="Y59" s="1">
        <f t="shared" si="18"/>
        <v>31</v>
      </c>
    </row>
    <row r="60" spans="1:25" x14ac:dyDescent="0.35">
      <c r="E60" s="22"/>
      <c r="F60" s="9" t="s">
        <v>48</v>
      </c>
      <c r="P60" s="9" t="s">
        <v>50</v>
      </c>
      <c r="T60" s="22"/>
    </row>
  </sheetData>
  <mergeCells count="3">
    <mergeCell ref="A12:N12"/>
    <mergeCell ref="P12:Q12"/>
    <mergeCell ref="T12:Z12"/>
  </mergeCells>
  <pageMargins left="0.7" right="0.7" top="0.75" bottom="0.75" header="0.3" footer="0.3"/>
  <pageSetup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howOutlineSymbols="0"/>
  </sheetPr>
  <dimension ref="A1:Z60"/>
  <sheetViews>
    <sheetView showOutlineSymbols="0" zoomScale="66" zoomScaleNormal="70" workbookViewId="0">
      <selection activeCell="E1" sqref="E1"/>
    </sheetView>
  </sheetViews>
  <sheetFormatPr defaultRowHeight="14.5" outlineLevelRow="1" outlineLevelCol="2" x14ac:dyDescent="0.35"/>
  <cols>
    <col min="1" max="1" width="10.81640625" bestFit="1" customWidth="1"/>
    <col min="2" max="2" width="11.54296875" bestFit="1" customWidth="1" outlineLevel="2"/>
    <col min="3" max="10" width="9.1796875" outlineLevel="2"/>
    <col min="11" max="12" width="9.1796875" outlineLevel="1"/>
    <col min="14" max="22" width="9.1796875" outlineLevel="2"/>
    <col min="23" max="24" width="9.1796875" outlineLevel="1"/>
  </cols>
  <sheetData>
    <row r="1" spans="1:26" x14ac:dyDescent="0.35">
      <c r="A1" s="19" t="s">
        <v>1</v>
      </c>
      <c r="B1" t="s">
        <v>43</v>
      </c>
    </row>
    <row r="2" spans="1:26" x14ac:dyDescent="0.35">
      <c r="A2" s="20" t="s">
        <v>2</v>
      </c>
      <c r="B2">
        <v>34</v>
      </c>
    </row>
    <row r="3" spans="1:26" x14ac:dyDescent="0.35">
      <c r="A3" s="20" t="s">
        <v>8</v>
      </c>
      <c r="B3">
        <v>31.5</v>
      </c>
    </row>
    <row r="4" spans="1:26" x14ac:dyDescent="0.35">
      <c r="A4" s="20" t="s">
        <v>4</v>
      </c>
      <c r="B4">
        <v>30</v>
      </c>
    </row>
    <row r="5" spans="1:26" x14ac:dyDescent="0.35">
      <c r="A5" s="20" t="s">
        <v>0</v>
      </c>
      <c r="B5">
        <v>29.5</v>
      </c>
    </row>
    <row r="6" spans="1:26" x14ac:dyDescent="0.35">
      <c r="A6" s="20" t="s">
        <v>7</v>
      </c>
      <c r="B6">
        <v>26</v>
      </c>
    </row>
    <row r="7" spans="1:26" x14ac:dyDescent="0.35">
      <c r="A7" s="20" t="s">
        <v>5</v>
      </c>
      <c r="B7">
        <v>25</v>
      </c>
    </row>
    <row r="8" spans="1:26" x14ac:dyDescent="0.35">
      <c r="A8" s="20" t="s">
        <v>3</v>
      </c>
      <c r="B8">
        <v>24</v>
      </c>
    </row>
    <row r="9" spans="1:26" x14ac:dyDescent="0.35">
      <c r="A9" s="20" t="s">
        <v>6</v>
      </c>
      <c r="B9">
        <v>19</v>
      </c>
    </row>
    <row r="10" spans="1:26" x14ac:dyDescent="0.35">
      <c r="A10" s="20" t="s">
        <v>42</v>
      </c>
      <c r="B10">
        <v>219</v>
      </c>
    </row>
    <row r="12" spans="1:26" x14ac:dyDescent="0.35">
      <c r="A12" s="44" t="s">
        <v>19</v>
      </c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P12" s="45" t="s">
        <v>27</v>
      </c>
      <c r="Q12" s="46"/>
      <c r="R12" s="17" t="s">
        <v>36</v>
      </c>
      <c r="T12" s="44" t="s">
        <v>37</v>
      </c>
      <c r="U12" s="44"/>
      <c r="V12" s="44"/>
      <c r="W12" s="44"/>
      <c r="X12" s="44"/>
      <c r="Y12" s="44"/>
      <c r="Z12" s="44"/>
    </row>
    <row r="13" spans="1:26" x14ac:dyDescent="0.35">
      <c r="A13" s="1" t="s">
        <v>1</v>
      </c>
      <c r="B13" s="1" t="s">
        <v>12</v>
      </c>
      <c r="C13" s="1" t="s">
        <v>27</v>
      </c>
      <c r="D13" s="1" t="s">
        <v>13</v>
      </c>
      <c r="E13" s="1" t="s">
        <v>27</v>
      </c>
      <c r="F13" s="1" t="s">
        <v>23</v>
      </c>
      <c r="G13" s="1" t="s">
        <v>27</v>
      </c>
      <c r="H13" s="1" t="s">
        <v>24</v>
      </c>
      <c r="I13" s="1" t="s">
        <v>27</v>
      </c>
      <c r="J13" s="1" t="s">
        <v>25</v>
      </c>
      <c r="K13" s="1" t="s">
        <v>27</v>
      </c>
      <c r="L13" s="1" t="s">
        <v>26</v>
      </c>
      <c r="M13" s="1" t="s">
        <v>27</v>
      </c>
      <c r="N13" s="1" t="s">
        <v>9</v>
      </c>
      <c r="P13" s="1" t="s">
        <v>28</v>
      </c>
      <c r="Q13" s="2">
        <v>8</v>
      </c>
      <c r="T13" s="1" t="s">
        <v>1</v>
      </c>
      <c r="U13" s="1" t="s">
        <v>12</v>
      </c>
      <c r="V13" s="1" t="s">
        <v>13</v>
      </c>
      <c r="W13" s="1" t="s">
        <v>23</v>
      </c>
      <c r="X13" s="1" t="s">
        <v>24</v>
      </c>
      <c r="Y13" s="1" t="s">
        <v>25</v>
      </c>
      <c r="Z13" s="1" t="s">
        <v>26</v>
      </c>
    </row>
    <row r="14" spans="1:26" x14ac:dyDescent="0.35">
      <c r="A14" s="1" t="s">
        <v>5</v>
      </c>
      <c r="B14" s="2">
        <f t="shared" ref="B14:B21" si="0">M26</f>
        <v>40</v>
      </c>
      <c r="C14" s="2">
        <v>2</v>
      </c>
      <c r="D14" s="3">
        <f t="shared" ref="D14:D21" si="1">Y26</f>
        <v>-24</v>
      </c>
      <c r="E14" s="3">
        <v>1</v>
      </c>
      <c r="F14" s="2">
        <f>M39</f>
        <v>-24</v>
      </c>
      <c r="G14" s="2">
        <v>1</v>
      </c>
      <c r="H14" s="2">
        <f>Y39</f>
        <v>36</v>
      </c>
      <c r="I14" s="2">
        <v>6.5</v>
      </c>
      <c r="J14" s="2">
        <f>M52</f>
        <v>29</v>
      </c>
      <c r="K14" s="2">
        <v>8</v>
      </c>
      <c r="L14" s="2">
        <f>Y52</f>
        <v>32</v>
      </c>
      <c r="M14" s="2">
        <v>6.5</v>
      </c>
      <c r="N14" s="18">
        <f t="shared" ref="N14:N21" si="2">C14+E14+G14+I14+K14+M14</f>
        <v>25</v>
      </c>
      <c r="P14" s="1" t="s">
        <v>29</v>
      </c>
      <c r="Q14" s="2">
        <v>7</v>
      </c>
      <c r="T14" s="1" t="s">
        <v>5</v>
      </c>
      <c r="U14" s="2" t="s">
        <v>40</v>
      </c>
      <c r="V14" s="2" t="s">
        <v>40</v>
      </c>
      <c r="W14" s="3" t="s">
        <v>40</v>
      </c>
      <c r="X14" s="3" t="s">
        <v>40</v>
      </c>
      <c r="Y14" s="2" t="s">
        <v>40</v>
      </c>
      <c r="Z14" s="2" t="s">
        <v>40</v>
      </c>
    </row>
    <row r="15" spans="1:26" x14ac:dyDescent="0.35">
      <c r="A15" s="1" t="s">
        <v>6</v>
      </c>
      <c r="B15" s="2">
        <f t="shared" si="0"/>
        <v>29</v>
      </c>
      <c r="C15" s="2">
        <v>8</v>
      </c>
      <c r="D15" s="3">
        <f t="shared" si="1"/>
        <v>38</v>
      </c>
      <c r="E15" s="3">
        <v>2.5</v>
      </c>
      <c r="F15" s="2">
        <f t="shared" ref="F15:F21" si="3">M40</f>
        <v>35</v>
      </c>
      <c r="G15" s="2">
        <v>3</v>
      </c>
      <c r="H15" s="2">
        <f>Y40</f>
        <v>-14</v>
      </c>
      <c r="I15" s="2">
        <v>1</v>
      </c>
      <c r="J15" s="2">
        <f t="shared" ref="J15:J21" si="4">M53</f>
        <v>44</v>
      </c>
      <c r="K15" s="2">
        <v>3.5</v>
      </c>
      <c r="L15" s="2">
        <f t="shared" ref="L15:L21" si="5">Y53</f>
        <v>-14</v>
      </c>
      <c r="M15" s="2">
        <v>1</v>
      </c>
      <c r="N15" s="18">
        <f t="shared" si="2"/>
        <v>19</v>
      </c>
      <c r="P15" s="1" t="s">
        <v>30</v>
      </c>
      <c r="Q15" s="2">
        <v>6</v>
      </c>
      <c r="T15" s="1" t="s">
        <v>6</v>
      </c>
      <c r="U15" s="10">
        <v>6.5</v>
      </c>
      <c r="V15" s="2" t="s">
        <v>40</v>
      </c>
      <c r="W15" s="3" t="s">
        <v>40</v>
      </c>
      <c r="X15" s="3" t="s">
        <v>40</v>
      </c>
      <c r="Y15" s="2" t="s">
        <v>40</v>
      </c>
      <c r="Z15" s="2" t="s">
        <v>40</v>
      </c>
    </row>
    <row r="16" spans="1:26" x14ac:dyDescent="0.35">
      <c r="A16" s="1" t="s">
        <v>7</v>
      </c>
      <c r="B16" s="2">
        <f t="shared" si="0"/>
        <v>37</v>
      </c>
      <c r="C16" s="2">
        <v>5</v>
      </c>
      <c r="D16" s="3">
        <f t="shared" si="1"/>
        <v>38</v>
      </c>
      <c r="E16" s="3">
        <v>2.5</v>
      </c>
      <c r="F16" s="2">
        <f t="shared" si="3"/>
        <v>33</v>
      </c>
      <c r="G16" s="2">
        <v>4.5</v>
      </c>
      <c r="H16" s="2">
        <f t="shared" ref="H16:H21" si="6">Y41</f>
        <v>36</v>
      </c>
      <c r="I16" s="2">
        <v>6.5</v>
      </c>
      <c r="J16" s="2">
        <f t="shared" si="4"/>
        <v>35</v>
      </c>
      <c r="K16" s="2">
        <v>5</v>
      </c>
      <c r="L16" s="2">
        <f t="shared" si="5"/>
        <v>35</v>
      </c>
      <c r="M16" s="2">
        <v>2.5</v>
      </c>
      <c r="N16" s="18">
        <f t="shared" si="2"/>
        <v>26</v>
      </c>
      <c r="P16" s="1" t="s">
        <v>31</v>
      </c>
      <c r="Q16" s="2">
        <v>5</v>
      </c>
      <c r="T16" s="1" t="s">
        <v>7</v>
      </c>
      <c r="U16" s="2" t="s">
        <v>40</v>
      </c>
      <c r="V16" s="2" t="s">
        <v>40</v>
      </c>
      <c r="W16" s="3">
        <v>10.7</v>
      </c>
      <c r="X16" s="3" t="s">
        <v>40</v>
      </c>
      <c r="Y16" s="2" t="s">
        <v>40</v>
      </c>
      <c r="Z16" s="10">
        <v>9.5</v>
      </c>
    </row>
    <row r="17" spans="1:26" x14ac:dyDescent="0.35">
      <c r="A17" s="1" t="s">
        <v>0</v>
      </c>
      <c r="B17" s="2">
        <f t="shared" si="0"/>
        <v>38</v>
      </c>
      <c r="C17" s="2">
        <v>3.5</v>
      </c>
      <c r="D17" s="3">
        <f t="shared" si="1"/>
        <v>37</v>
      </c>
      <c r="E17" s="3">
        <v>4.5</v>
      </c>
      <c r="F17" s="2">
        <f t="shared" si="3"/>
        <v>36</v>
      </c>
      <c r="G17" s="2">
        <v>2</v>
      </c>
      <c r="H17" s="2">
        <f t="shared" si="6"/>
        <v>36</v>
      </c>
      <c r="I17" s="2">
        <v>6.5</v>
      </c>
      <c r="J17" s="2">
        <f t="shared" si="4"/>
        <v>32</v>
      </c>
      <c r="K17" s="2">
        <v>6.5</v>
      </c>
      <c r="L17" s="2">
        <f t="shared" si="5"/>
        <v>32</v>
      </c>
      <c r="M17" s="2">
        <v>6.5</v>
      </c>
      <c r="N17" s="18">
        <f t="shared" si="2"/>
        <v>29.5</v>
      </c>
      <c r="P17" s="1" t="s">
        <v>32</v>
      </c>
      <c r="Q17" s="2">
        <v>4</v>
      </c>
      <c r="T17" s="1" t="s">
        <v>0</v>
      </c>
      <c r="U17" s="2" t="s">
        <v>40</v>
      </c>
      <c r="V17" s="2" t="s">
        <v>40</v>
      </c>
      <c r="W17" s="3" t="s">
        <v>40</v>
      </c>
      <c r="X17" s="3" t="s">
        <v>40</v>
      </c>
      <c r="Y17" s="2" t="s">
        <v>40</v>
      </c>
      <c r="Z17" s="2" t="s">
        <v>40</v>
      </c>
    </row>
    <row r="18" spans="1:26" x14ac:dyDescent="0.35">
      <c r="A18" s="1" t="s">
        <v>2</v>
      </c>
      <c r="B18" s="2">
        <f t="shared" si="0"/>
        <v>36</v>
      </c>
      <c r="C18" s="2">
        <v>6</v>
      </c>
      <c r="D18" s="3">
        <f t="shared" si="1"/>
        <v>34</v>
      </c>
      <c r="E18" s="3">
        <v>8</v>
      </c>
      <c r="F18" s="2">
        <f t="shared" si="3"/>
        <v>30</v>
      </c>
      <c r="G18" s="2">
        <v>6</v>
      </c>
      <c r="H18" s="2">
        <f t="shared" si="6"/>
        <v>33</v>
      </c>
      <c r="I18" s="2">
        <v>8</v>
      </c>
      <c r="J18" s="2">
        <f t="shared" si="4"/>
        <v>-8</v>
      </c>
      <c r="K18" s="2">
        <v>1</v>
      </c>
      <c r="L18" s="2">
        <f t="shared" si="5"/>
        <v>33</v>
      </c>
      <c r="M18" s="2">
        <v>5</v>
      </c>
      <c r="N18" s="18">
        <f t="shared" si="2"/>
        <v>34</v>
      </c>
      <c r="P18" s="1" t="s">
        <v>33</v>
      </c>
      <c r="Q18" s="2">
        <v>3</v>
      </c>
      <c r="T18" s="1" t="s">
        <v>2</v>
      </c>
      <c r="U18" s="2" t="s">
        <v>40</v>
      </c>
      <c r="V18" s="2" t="s">
        <v>40</v>
      </c>
      <c r="W18" s="21">
        <v>7.8</v>
      </c>
      <c r="X18" s="21">
        <v>20.6</v>
      </c>
      <c r="Y18" s="2" t="s">
        <v>40</v>
      </c>
      <c r="Z18" s="2" t="s">
        <v>40</v>
      </c>
    </row>
    <row r="19" spans="1:26" x14ac:dyDescent="0.35">
      <c r="A19" s="1" t="s">
        <v>3</v>
      </c>
      <c r="B19" s="2">
        <f t="shared" si="0"/>
        <v>33</v>
      </c>
      <c r="C19" s="2">
        <v>7</v>
      </c>
      <c r="D19" s="3">
        <f t="shared" si="1"/>
        <v>36</v>
      </c>
      <c r="E19" s="3">
        <v>6</v>
      </c>
      <c r="F19" s="2">
        <f t="shared" si="3"/>
        <v>33</v>
      </c>
      <c r="G19" s="2">
        <v>4.5</v>
      </c>
      <c r="H19" s="2">
        <f t="shared" si="6"/>
        <v>37</v>
      </c>
      <c r="I19" s="2">
        <v>3</v>
      </c>
      <c r="J19" s="2">
        <f t="shared" si="4"/>
        <v>-9</v>
      </c>
      <c r="K19" s="2">
        <v>1</v>
      </c>
      <c r="L19" s="2">
        <f t="shared" si="5"/>
        <v>35</v>
      </c>
      <c r="M19" s="2">
        <v>2.5</v>
      </c>
      <c r="N19" s="18">
        <f t="shared" si="2"/>
        <v>24</v>
      </c>
      <c r="P19" s="1" t="s">
        <v>34</v>
      </c>
      <c r="Q19" s="2">
        <v>2</v>
      </c>
      <c r="T19" s="1" t="s">
        <v>3</v>
      </c>
      <c r="U19" s="2">
        <v>17.899999999999999</v>
      </c>
      <c r="V19" s="3" t="s">
        <v>40</v>
      </c>
      <c r="W19" s="3">
        <v>11.7</v>
      </c>
      <c r="X19" s="3" t="s">
        <v>40</v>
      </c>
      <c r="Y19" s="2" t="s">
        <v>40</v>
      </c>
      <c r="Z19" s="2" t="s">
        <v>40</v>
      </c>
    </row>
    <row r="20" spans="1:26" x14ac:dyDescent="0.35">
      <c r="A20" s="1" t="s">
        <v>4</v>
      </c>
      <c r="B20" s="2">
        <f t="shared" si="0"/>
        <v>38</v>
      </c>
      <c r="C20" s="2">
        <v>3.5</v>
      </c>
      <c r="D20" s="3">
        <f t="shared" si="1"/>
        <v>35</v>
      </c>
      <c r="E20" s="3">
        <v>7</v>
      </c>
      <c r="F20" s="2">
        <f t="shared" si="3"/>
        <v>28</v>
      </c>
      <c r="G20" s="2">
        <v>7</v>
      </c>
      <c r="H20" s="2">
        <f t="shared" si="6"/>
        <v>39</v>
      </c>
      <c r="I20" s="2">
        <v>2</v>
      </c>
      <c r="J20" s="2">
        <f t="shared" si="4"/>
        <v>32</v>
      </c>
      <c r="K20" s="2">
        <v>6.5</v>
      </c>
      <c r="L20" s="2">
        <f t="shared" si="5"/>
        <v>34</v>
      </c>
      <c r="M20" s="2">
        <v>4</v>
      </c>
      <c r="N20" s="18">
        <f t="shared" si="2"/>
        <v>30</v>
      </c>
      <c r="P20" s="1" t="s">
        <v>35</v>
      </c>
      <c r="Q20" s="2">
        <v>1</v>
      </c>
      <c r="T20" s="1" t="s">
        <v>4</v>
      </c>
      <c r="U20" s="2" t="s">
        <v>40</v>
      </c>
      <c r="V20" s="2" t="s">
        <v>40</v>
      </c>
      <c r="W20" s="3" t="s">
        <v>40</v>
      </c>
      <c r="X20" s="3" t="s">
        <v>40</v>
      </c>
      <c r="Y20" s="10" t="s">
        <v>49</v>
      </c>
      <c r="Z20" s="2" t="s">
        <v>40</v>
      </c>
    </row>
    <row r="21" spans="1:26" x14ac:dyDescent="0.35">
      <c r="A21" s="1" t="s">
        <v>8</v>
      </c>
      <c r="B21" s="2">
        <f t="shared" si="0"/>
        <v>-25</v>
      </c>
      <c r="C21" s="2">
        <v>1</v>
      </c>
      <c r="D21" s="3">
        <f t="shared" si="1"/>
        <v>37</v>
      </c>
      <c r="E21" s="3">
        <v>4.5</v>
      </c>
      <c r="F21" s="2">
        <f t="shared" si="3"/>
        <v>27</v>
      </c>
      <c r="G21" s="2">
        <v>8</v>
      </c>
      <c r="H21" s="2">
        <f t="shared" si="6"/>
        <v>36</v>
      </c>
      <c r="I21" s="2">
        <v>6.5</v>
      </c>
      <c r="J21" s="2">
        <f t="shared" si="4"/>
        <v>44</v>
      </c>
      <c r="K21" s="2">
        <v>3.5</v>
      </c>
      <c r="L21" s="2">
        <f t="shared" si="5"/>
        <v>29</v>
      </c>
      <c r="M21" s="2">
        <v>8</v>
      </c>
      <c r="N21" s="18">
        <f t="shared" si="2"/>
        <v>31.5</v>
      </c>
      <c r="T21" s="1" t="s">
        <v>8</v>
      </c>
      <c r="U21" s="2" t="s">
        <v>40</v>
      </c>
      <c r="V21" s="2" t="s">
        <v>40</v>
      </c>
      <c r="W21" s="3" t="s">
        <v>40</v>
      </c>
      <c r="X21" s="3" t="s">
        <v>40</v>
      </c>
      <c r="Y21" s="2" t="s">
        <v>40</v>
      </c>
      <c r="Z21" s="2" t="s">
        <v>40</v>
      </c>
    </row>
    <row r="23" spans="1:26" x14ac:dyDescent="0.35">
      <c r="A23" s="1" t="s">
        <v>18</v>
      </c>
      <c r="B23" s="1">
        <v>1</v>
      </c>
      <c r="C23" s="1">
        <v>2</v>
      </c>
      <c r="D23" s="1">
        <v>3</v>
      </c>
      <c r="E23" s="1">
        <v>4</v>
      </c>
      <c r="F23" s="1">
        <v>5</v>
      </c>
      <c r="G23" s="11">
        <v>6</v>
      </c>
      <c r="H23" s="9">
        <v>7</v>
      </c>
      <c r="I23" s="14">
        <v>8</v>
      </c>
      <c r="J23" s="1">
        <v>9</v>
      </c>
      <c r="K23" s="1" t="s">
        <v>9</v>
      </c>
      <c r="L23" s="1" t="s">
        <v>14</v>
      </c>
      <c r="M23" s="1" t="s">
        <v>20</v>
      </c>
      <c r="N23" s="1">
        <v>10</v>
      </c>
      <c r="O23" s="1">
        <v>11</v>
      </c>
      <c r="P23" s="11">
        <v>12</v>
      </c>
      <c r="Q23" s="1">
        <v>13</v>
      </c>
      <c r="R23" s="14">
        <v>14</v>
      </c>
      <c r="S23" s="9">
        <v>15</v>
      </c>
      <c r="T23" s="1">
        <v>16</v>
      </c>
      <c r="U23" s="1">
        <v>17</v>
      </c>
      <c r="V23" s="1">
        <v>18</v>
      </c>
      <c r="W23" s="1" t="s">
        <v>9</v>
      </c>
      <c r="X23" s="1" t="s">
        <v>14</v>
      </c>
      <c r="Y23" s="1" t="s">
        <v>20</v>
      </c>
    </row>
    <row r="24" spans="1:26" outlineLevel="1" x14ac:dyDescent="0.35">
      <c r="A24" s="1" t="s">
        <v>15</v>
      </c>
      <c r="B24" s="1">
        <v>4</v>
      </c>
      <c r="C24" s="1">
        <v>4</v>
      </c>
      <c r="D24" s="1">
        <v>3</v>
      </c>
      <c r="E24" s="1">
        <v>5</v>
      </c>
      <c r="F24" s="1">
        <v>4</v>
      </c>
      <c r="G24" s="11">
        <v>4</v>
      </c>
      <c r="H24" s="9">
        <v>3</v>
      </c>
      <c r="I24" s="14">
        <v>5</v>
      </c>
      <c r="J24" s="1">
        <v>4</v>
      </c>
      <c r="K24" s="1">
        <f>SUM(B24:J24)</f>
        <v>36</v>
      </c>
      <c r="L24" s="7"/>
      <c r="M24" s="7"/>
      <c r="N24" s="1">
        <v>4</v>
      </c>
      <c r="O24" s="1">
        <v>5</v>
      </c>
      <c r="P24" s="11">
        <v>4</v>
      </c>
      <c r="Q24" s="1">
        <v>3</v>
      </c>
      <c r="R24" s="14">
        <v>4</v>
      </c>
      <c r="S24" s="9">
        <v>3</v>
      </c>
      <c r="T24" s="1">
        <v>4</v>
      </c>
      <c r="U24" s="1">
        <v>5</v>
      </c>
      <c r="V24" s="1">
        <v>4</v>
      </c>
      <c r="W24" s="1">
        <f>SUM(N24:V24)</f>
        <v>36</v>
      </c>
      <c r="X24" s="8"/>
      <c r="Y24" s="7"/>
    </row>
    <row r="25" spans="1:26" outlineLevel="1" x14ac:dyDescent="0.35">
      <c r="A25" s="1" t="s">
        <v>1</v>
      </c>
      <c r="B25" s="5"/>
      <c r="C25" s="5"/>
      <c r="D25" s="5"/>
      <c r="E25" s="5"/>
      <c r="F25" s="5"/>
      <c r="G25" s="12"/>
      <c r="H25" s="5"/>
      <c r="I25" s="15"/>
      <c r="J25" s="5"/>
      <c r="K25" s="5"/>
      <c r="L25" s="5"/>
      <c r="M25" s="5"/>
      <c r="N25" s="5"/>
      <c r="O25" s="5"/>
      <c r="P25" s="12"/>
      <c r="Q25" s="5"/>
      <c r="R25" s="15"/>
      <c r="S25" s="5"/>
      <c r="T25" s="5"/>
      <c r="U25" s="5"/>
      <c r="V25" s="5"/>
      <c r="W25" s="5"/>
      <c r="X25" s="5"/>
      <c r="Y25" s="5"/>
    </row>
    <row r="26" spans="1:26" outlineLevel="1" x14ac:dyDescent="0.35">
      <c r="A26" s="1" t="s">
        <v>5</v>
      </c>
      <c r="B26" s="2">
        <v>5</v>
      </c>
      <c r="C26" s="2">
        <v>7</v>
      </c>
      <c r="D26" s="2">
        <v>4</v>
      </c>
      <c r="E26" s="2">
        <v>8</v>
      </c>
      <c r="F26" s="2">
        <v>6</v>
      </c>
      <c r="G26" s="13">
        <v>7</v>
      </c>
      <c r="H26" s="10">
        <v>4</v>
      </c>
      <c r="I26" s="16">
        <v>12</v>
      </c>
      <c r="J26" s="2">
        <v>11</v>
      </c>
      <c r="K26" s="1">
        <f t="shared" ref="K26:K33" si="7">SUM(B26:J26)</f>
        <v>64</v>
      </c>
      <c r="L26" s="1">
        <v>24</v>
      </c>
      <c r="M26" s="1">
        <f>K26-L26</f>
        <v>40</v>
      </c>
      <c r="N26" s="2"/>
      <c r="O26" s="2"/>
      <c r="P26" s="13"/>
      <c r="Q26" s="2"/>
      <c r="R26" s="16"/>
      <c r="S26" s="10"/>
      <c r="T26" s="2"/>
      <c r="U26" s="2"/>
      <c r="V26" s="2"/>
      <c r="W26" s="1">
        <f t="shared" ref="W26:W33" si="8">SUM(N26:V26)</f>
        <v>0</v>
      </c>
      <c r="X26" s="1">
        <v>24</v>
      </c>
      <c r="Y26" s="1">
        <f>W26-X26</f>
        <v>-24</v>
      </c>
    </row>
    <row r="27" spans="1:26" x14ac:dyDescent="0.35">
      <c r="A27" s="1" t="s">
        <v>6</v>
      </c>
      <c r="B27" s="2">
        <v>4</v>
      </c>
      <c r="C27" s="2">
        <v>4</v>
      </c>
      <c r="D27" s="2">
        <v>6</v>
      </c>
      <c r="E27" s="2">
        <v>6</v>
      </c>
      <c r="F27" s="2">
        <v>5</v>
      </c>
      <c r="G27" s="13">
        <v>5</v>
      </c>
      <c r="H27" s="10">
        <v>3</v>
      </c>
      <c r="I27" s="16">
        <v>6</v>
      </c>
      <c r="J27" s="2">
        <v>4</v>
      </c>
      <c r="K27" s="1">
        <f t="shared" si="7"/>
        <v>43</v>
      </c>
      <c r="L27" s="1">
        <v>14</v>
      </c>
      <c r="M27" s="1">
        <f t="shared" ref="M27:M33" si="9">K27-L27</f>
        <v>29</v>
      </c>
      <c r="N27" s="2">
        <v>6</v>
      </c>
      <c r="O27" s="2">
        <v>6</v>
      </c>
      <c r="P27" s="13">
        <v>6</v>
      </c>
      <c r="Q27" s="2">
        <v>5</v>
      </c>
      <c r="R27" s="16">
        <v>7</v>
      </c>
      <c r="S27" s="10">
        <v>5</v>
      </c>
      <c r="T27" s="2">
        <v>5</v>
      </c>
      <c r="U27" s="2">
        <v>6</v>
      </c>
      <c r="V27" s="2">
        <v>6</v>
      </c>
      <c r="W27" s="1">
        <f t="shared" si="8"/>
        <v>52</v>
      </c>
      <c r="X27" s="1">
        <v>14</v>
      </c>
      <c r="Y27" s="1">
        <f t="shared" ref="Y27:Y33" si="10">W27-X27</f>
        <v>38</v>
      </c>
    </row>
    <row r="28" spans="1:26" x14ac:dyDescent="0.35">
      <c r="A28" s="1" t="s">
        <v>7</v>
      </c>
      <c r="B28" s="2">
        <v>5</v>
      </c>
      <c r="C28" s="2">
        <v>5</v>
      </c>
      <c r="D28" s="2">
        <v>4</v>
      </c>
      <c r="E28" s="2">
        <v>5</v>
      </c>
      <c r="F28" s="2">
        <v>4</v>
      </c>
      <c r="G28" s="13">
        <v>3</v>
      </c>
      <c r="H28" s="10">
        <v>4</v>
      </c>
      <c r="I28" s="16">
        <v>9</v>
      </c>
      <c r="J28" s="2">
        <v>4</v>
      </c>
      <c r="K28" s="1">
        <f t="shared" si="7"/>
        <v>43</v>
      </c>
      <c r="L28" s="1">
        <v>6</v>
      </c>
      <c r="M28" s="1">
        <f t="shared" si="9"/>
        <v>37</v>
      </c>
      <c r="N28" s="2">
        <v>4</v>
      </c>
      <c r="O28" s="2">
        <v>7</v>
      </c>
      <c r="P28" s="13">
        <v>5</v>
      </c>
      <c r="Q28" s="2">
        <v>3</v>
      </c>
      <c r="R28" s="16">
        <v>5</v>
      </c>
      <c r="S28" s="10">
        <v>3</v>
      </c>
      <c r="T28" s="2">
        <v>6</v>
      </c>
      <c r="U28" s="2">
        <v>7</v>
      </c>
      <c r="V28" s="2">
        <v>4</v>
      </c>
      <c r="W28" s="1">
        <f t="shared" si="8"/>
        <v>44</v>
      </c>
      <c r="X28" s="1">
        <v>6</v>
      </c>
      <c r="Y28" s="1">
        <f t="shared" si="10"/>
        <v>38</v>
      </c>
    </row>
    <row r="29" spans="1:26" x14ac:dyDescent="0.35">
      <c r="A29" s="1" t="s">
        <v>0</v>
      </c>
      <c r="B29" s="2">
        <v>7</v>
      </c>
      <c r="C29" s="2">
        <v>5</v>
      </c>
      <c r="D29" s="2">
        <v>6</v>
      </c>
      <c r="E29" s="2">
        <v>9</v>
      </c>
      <c r="F29" s="2">
        <v>6</v>
      </c>
      <c r="G29" s="13">
        <v>8</v>
      </c>
      <c r="H29" s="10">
        <v>5</v>
      </c>
      <c r="I29" s="16">
        <v>10</v>
      </c>
      <c r="J29" s="2">
        <v>6</v>
      </c>
      <c r="K29" s="1">
        <f t="shared" si="7"/>
        <v>62</v>
      </c>
      <c r="L29" s="1">
        <v>24</v>
      </c>
      <c r="M29" s="1">
        <f t="shared" si="9"/>
        <v>38</v>
      </c>
      <c r="N29" s="2">
        <v>6</v>
      </c>
      <c r="O29" s="2">
        <v>7</v>
      </c>
      <c r="P29" s="13">
        <v>6</v>
      </c>
      <c r="Q29" s="2">
        <v>5</v>
      </c>
      <c r="R29" s="16">
        <v>8</v>
      </c>
      <c r="S29" s="10">
        <v>8</v>
      </c>
      <c r="T29" s="2">
        <v>8</v>
      </c>
      <c r="U29" s="2">
        <v>7</v>
      </c>
      <c r="V29" s="2">
        <v>6</v>
      </c>
      <c r="W29" s="1">
        <f t="shared" si="8"/>
        <v>61</v>
      </c>
      <c r="X29" s="1">
        <v>24</v>
      </c>
      <c r="Y29" s="1">
        <f t="shared" si="10"/>
        <v>37</v>
      </c>
    </row>
    <row r="30" spans="1:26" x14ac:dyDescent="0.35">
      <c r="A30" s="1" t="s">
        <v>2</v>
      </c>
      <c r="B30" s="2">
        <v>5</v>
      </c>
      <c r="C30" s="2">
        <v>4</v>
      </c>
      <c r="D30" s="2">
        <v>3</v>
      </c>
      <c r="E30" s="2">
        <v>6</v>
      </c>
      <c r="F30" s="2">
        <v>3</v>
      </c>
      <c r="G30" s="13">
        <v>9</v>
      </c>
      <c r="H30" s="10">
        <v>4</v>
      </c>
      <c r="I30" s="16">
        <v>5</v>
      </c>
      <c r="J30" s="2">
        <v>5</v>
      </c>
      <c r="K30" s="1">
        <f t="shared" si="7"/>
        <v>44</v>
      </c>
      <c r="L30" s="1">
        <v>8</v>
      </c>
      <c r="M30" s="1">
        <f t="shared" si="9"/>
        <v>36</v>
      </c>
      <c r="N30" s="2">
        <v>4</v>
      </c>
      <c r="O30" s="2">
        <v>6</v>
      </c>
      <c r="P30" s="13">
        <v>5</v>
      </c>
      <c r="Q30" s="2">
        <v>4</v>
      </c>
      <c r="R30" s="16">
        <v>5</v>
      </c>
      <c r="S30" s="10">
        <v>3</v>
      </c>
      <c r="T30" s="2">
        <v>4</v>
      </c>
      <c r="U30" s="2">
        <v>6</v>
      </c>
      <c r="V30" s="2">
        <v>5</v>
      </c>
      <c r="W30" s="1">
        <f t="shared" si="8"/>
        <v>42</v>
      </c>
      <c r="X30" s="1">
        <v>8</v>
      </c>
      <c r="Y30" s="1">
        <f t="shared" si="10"/>
        <v>34</v>
      </c>
    </row>
    <row r="31" spans="1:26" x14ac:dyDescent="0.35">
      <c r="A31" s="1" t="s">
        <v>3</v>
      </c>
      <c r="B31" s="2">
        <v>6</v>
      </c>
      <c r="C31" s="2">
        <v>5</v>
      </c>
      <c r="D31" s="2">
        <v>4</v>
      </c>
      <c r="E31" s="2">
        <v>5</v>
      </c>
      <c r="F31" s="2">
        <v>4</v>
      </c>
      <c r="G31" s="13">
        <v>5</v>
      </c>
      <c r="H31" s="10">
        <v>4</v>
      </c>
      <c r="I31" s="16">
        <v>5</v>
      </c>
      <c r="J31" s="2">
        <v>4</v>
      </c>
      <c r="K31" s="1">
        <f t="shared" si="7"/>
        <v>42</v>
      </c>
      <c r="L31" s="1">
        <v>9</v>
      </c>
      <c r="M31" s="1">
        <f t="shared" si="9"/>
        <v>33</v>
      </c>
      <c r="N31" s="2">
        <v>4</v>
      </c>
      <c r="O31" s="2">
        <v>7</v>
      </c>
      <c r="P31" s="13">
        <v>5</v>
      </c>
      <c r="Q31" s="2">
        <v>3</v>
      </c>
      <c r="R31" s="16">
        <v>7</v>
      </c>
      <c r="S31" s="10">
        <v>4</v>
      </c>
      <c r="T31" s="2">
        <v>4</v>
      </c>
      <c r="U31" s="2">
        <v>6</v>
      </c>
      <c r="V31" s="2">
        <v>5</v>
      </c>
      <c r="W31" s="1">
        <f t="shared" si="8"/>
        <v>45</v>
      </c>
      <c r="X31" s="1">
        <v>9</v>
      </c>
      <c r="Y31" s="1">
        <f t="shared" si="10"/>
        <v>36</v>
      </c>
    </row>
    <row r="32" spans="1:26" x14ac:dyDescent="0.35">
      <c r="A32" s="1" t="s">
        <v>4</v>
      </c>
      <c r="B32" s="2">
        <v>5</v>
      </c>
      <c r="C32" s="2">
        <v>5</v>
      </c>
      <c r="D32" s="2">
        <v>5</v>
      </c>
      <c r="E32" s="2">
        <v>7</v>
      </c>
      <c r="F32" s="2">
        <v>5</v>
      </c>
      <c r="G32" s="13">
        <v>5</v>
      </c>
      <c r="H32" s="10">
        <v>5</v>
      </c>
      <c r="I32" s="16">
        <v>7</v>
      </c>
      <c r="J32" s="2">
        <v>5</v>
      </c>
      <c r="K32" s="1">
        <f t="shared" si="7"/>
        <v>49</v>
      </c>
      <c r="L32" s="1">
        <v>11</v>
      </c>
      <c r="M32" s="1">
        <f t="shared" si="9"/>
        <v>38</v>
      </c>
      <c r="N32" s="2">
        <v>6</v>
      </c>
      <c r="O32" s="2">
        <v>5</v>
      </c>
      <c r="P32" s="13">
        <v>5</v>
      </c>
      <c r="Q32" s="2">
        <v>5</v>
      </c>
      <c r="R32" s="16">
        <v>6</v>
      </c>
      <c r="S32" s="10">
        <v>4</v>
      </c>
      <c r="T32" s="2">
        <v>4</v>
      </c>
      <c r="U32" s="2">
        <v>5</v>
      </c>
      <c r="V32" s="2">
        <v>6</v>
      </c>
      <c r="W32" s="1">
        <f t="shared" si="8"/>
        <v>46</v>
      </c>
      <c r="X32" s="1">
        <v>11</v>
      </c>
      <c r="Y32" s="1">
        <f t="shared" si="10"/>
        <v>35</v>
      </c>
    </row>
    <row r="33" spans="1:25" x14ac:dyDescent="0.35">
      <c r="A33" s="1" t="s">
        <v>8</v>
      </c>
      <c r="B33" s="2"/>
      <c r="C33" s="2"/>
      <c r="D33" s="2"/>
      <c r="E33" s="2"/>
      <c r="F33" s="2"/>
      <c r="G33" s="13"/>
      <c r="H33" s="10"/>
      <c r="I33" s="16"/>
      <c r="J33" s="2"/>
      <c r="K33" s="1">
        <f t="shared" si="7"/>
        <v>0</v>
      </c>
      <c r="L33" s="1">
        <v>25</v>
      </c>
      <c r="M33" s="1">
        <f t="shared" si="9"/>
        <v>-25</v>
      </c>
      <c r="N33" s="2">
        <v>6</v>
      </c>
      <c r="O33" s="2">
        <v>8</v>
      </c>
      <c r="P33" s="13">
        <v>7</v>
      </c>
      <c r="Q33" s="2">
        <v>6</v>
      </c>
      <c r="R33" s="16">
        <v>8</v>
      </c>
      <c r="S33" s="10">
        <v>4</v>
      </c>
      <c r="T33" s="2">
        <v>8</v>
      </c>
      <c r="U33" s="2">
        <v>7</v>
      </c>
      <c r="V33" s="2">
        <v>8</v>
      </c>
      <c r="W33" s="1">
        <f t="shared" si="8"/>
        <v>62</v>
      </c>
      <c r="X33" s="1">
        <v>25</v>
      </c>
      <c r="Y33" s="1">
        <f t="shared" si="10"/>
        <v>37</v>
      </c>
    </row>
    <row r="34" spans="1:25" x14ac:dyDescent="0.35">
      <c r="D34" s="1" t="s">
        <v>39</v>
      </c>
      <c r="H34" s="9" t="s">
        <v>38</v>
      </c>
      <c r="Q34" s="1" t="s">
        <v>21</v>
      </c>
      <c r="R34" s="6"/>
      <c r="S34" s="9" t="s">
        <v>22</v>
      </c>
    </row>
    <row r="36" spans="1:25" x14ac:dyDescent="0.35">
      <c r="A36" s="1" t="s">
        <v>44</v>
      </c>
      <c r="B36" s="1">
        <v>1</v>
      </c>
      <c r="C36" s="1">
        <v>2</v>
      </c>
      <c r="D36" s="1">
        <v>3</v>
      </c>
      <c r="E36" s="9">
        <v>4</v>
      </c>
      <c r="F36" s="1">
        <v>5</v>
      </c>
      <c r="G36" s="11">
        <v>6</v>
      </c>
      <c r="H36" s="1">
        <v>7</v>
      </c>
      <c r="I36" s="14">
        <v>8</v>
      </c>
      <c r="J36" s="1">
        <v>9</v>
      </c>
      <c r="K36" s="1" t="s">
        <v>9</v>
      </c>
      <c r="L36" s="1" t="s">
        <v>14</v>
      </c>
      <c r="M36" s="1" t="s">
        <v>20</v>
      </c>
      <c r="N36" s="1">
        <v>10</v>
      </c>
      <c r="O36" s="1">
        <v>11</v>
      </c>
      <c r="P36" s="11">
        <v>12</v>
      </c>
      <c r="Q36" s="1">
        <v>13</v>
      </c>
      <c r="R36" s="14">
        <v>14</v>
      </c>
      <c r="S36" s="11">
        <v>15</v>
      </c>
      <c r="T36" s="9">
        <v>16</v>
      </c>
      <c r="U36" s="14">
        <v>17</v>
      </c>
      <c r="V36" s="1">
        <v>18</v>
      </c>
      <c r="W36" s="1" t="s">
        <v>9</v>
      </c>
      <c r="X36" s="1" t="s">
        <v>14</v>
      </c>
      <c r="Y36" s="1" t="s">
        <v>20</v>
      </c>
    </row>
    <row r="37" spans="1:25" x14ac:dyDescent="0.35">
      <c r="A37" s="1" t="s">
        <v>15</v>
      </c>
      <c r="B37" s="1">
        <v>4</v>
      </c>
      <c r="C37" s="1">
        <v>4</v>
      </c>
      <c r="D37" s="1">
        <v>5</v>
      </c>
      <c r="E37" s="9">
        <v>3</v>
      </c>
      <c r="F37" s="1">
        <v>4</v>
      </c>
      <c r="G37" s="11">
        <v>4</v>
      </c>
      <c r="H37" s="1">
        <v>3</v>
      </c>
      <c r="I37" s="14">
        <v>4</v>
      </c>
      <c r="J37" s="1">
        <v>4</v>
      </c>
      <c r="K37" s="1">
        <f>SUM(B37:J37)</f>
        <v>35</v>
      </c>
      <c r="L37" s="7"/>
      <c r="M37" s="7"/>
      <c r="N37" s="1">
        <v>4</v>
      </c>
      <c r="O37" s="1">
        <v>4</v>
      </c>
      <c r="P37" s="11">
        <v>3</v>
      </c>
      <c r="Q37" s="1">
        <v>5</v>
      </c>
      <c r="R37" s="14">
        <v>4</v>
      </c>
      <c r="S37" s="11">
        <v>5</v>
      </c>
      <c r="T37" s="9">
        <v>3</v>
      </c>
      <c r="U37" s="14">
        <v>4</v>
      </c>
      <c r="V37" s="1">
        <v>4</v>
      </c>
      <c r="W37" s="1">
        <f>SUM(N37:V37)</f>
        <v>36</v>
      </c>
      <c r="X37" s="8"/>
      <c r="Y37" s="7"/>
    </row>
    <row r="38" spans="1:25" x14ac:dyDescent="0.35">
      <c r="A38" s="1" t="s">
        <v>1</v>
      </c>
      <c r="B38" s="5"/>
      <c r="C38" s="5"/>
      <c r="D38" s="5"/>
      <c r="E38" s="5"/>
      <c r="F38" s="5"/>
      <c r="G38" s="12"/>
      <c r="H38" s="5"/>
      <c r="I38" s="15"/>
      <c r="J38" s="5"/>
      <c r="K38" s="5"/>
      <c r="L38" s="5"/>
      <c r="M38" s="5"/>
      <c r="N38" s="5"/>
      <c r="O38" s="5"/>
      <c r="P38" s="12"/>
      <c r="Q38" s="5"/>
      <c r="R38" s="15"/>
      <c r="S38" s="12"/>
      <c r="T38" s="5"/>
      <c r="U38" s="15"/>
      <c r="V38" s="5"/>
      <c r="W38" s="5"/>
      <c r="X38" s="5"/>
      <c r="Y38" s="5"/>
    </row>
    <row r="39" spans="1:25" x14ac:dyDescent="0.35">
      <c r="A39" s="1" t="s">
        <v>5</v>
      </c>
      <c r="B39" s="2"/>
      <c r="C39" s="2"/>
      <c r="D39" s="2"/>
      <c r="E39" s="10"/>
      <c r="F39" s="2"/>
      <c r="G39" s="13"/>
      <c r="H39" s="2"/>
      <c r="I39" s="16"/>
      <c r="J39" s="2"/>
      <c r="K39" s="1">
        <f t="shared" ref="K39:K46" si="11">SUM(B39:J39)</f>
        <v>0</v>
      </c>
      <c r="L39" s="1">
        <v>24</v>
      </c>
      <c r="M39" s="1">
        <f>K39-L39</f>
        <v>-24</v>
      </c>
      <c r="N39" s="2">
        <v>5</v>
      </c>
      <c r="O39" s="2">
        <v>6</v>
      </c>
      <c r="P39" s="13">
        <v>5</v>
      </c>
      <c r="Q39" s="2">
        <v>8</v>
      </c>
      <c r="R39" s="16">
        <v>9</v>
      </c>
      <c r="S39" s="13">
        <v>9</v>
      </c>
      <c r="T39" s="10">
        <v>3</v>
      </c>
      <c r="U39" s="16">
        <v>5</v>
      </c>
      <c r="V39" s="2">
        <v>10</v>
      </c>
      <c r="W39" s="1">
        <f t="shared" ref="W39:W46" si="12">SUM(N39:V39)</f>
        <v>60</v>
      </c>
      <c r="X39" s="1">
        <v>24</v>
      </c>
      <c r="Y39" s="1">
        <f>W39-X39</f>
        <v>36</v>
      </c>
    </row>
    <row r="40" spans="1:25" x14ac:dyDescent="0.35">
      <c r="A40" s="1" t="s">
        <v>6</v>
      </c>
      <c r="B40" s="2">
        <v>5</v>
      </c>
      <c r="C40" s="2">
        <v>6</v>
      </c>
      <c r="D40" s="2">
        <v>7</v>
      </c>
      <c r="E40" s="10">
        <v>6</v>
      </c>
      <c r="F40" s="2">
        <v>4</v>
      </c>
      <c r="G40" s="13">
        <v>6</v>
      </c>
      <c r="H40" s="2">
        <v>5</v>
      </c>
      <c r="I40" s="16">
        <v>5</v>
      </c>
      <c r="J40" s="2">
        <v>5</v>
      </c>
      <c r="K40" s="1">
        <f t="shared" si="11"/>
        <v>49</v>
      </c>
      <c r="L40" s="1">
        <v>14</v>
      </c>
      <c r="M40" s="1">
        <f t="shared" ref="M40:M46" si="13">K40-L40</f>
        <v>35</v>
      </c>
      <c r="N40" s="2"/>
      <c r="O40" s="2"/>
      <c r="P40" s="13"/>
      <c r="Q40" s="2"/>
      <c r="R40" s="16"/>
      <c r="S40" s="13"/>
      <c r="T40" s="10"/>
      <c r="U40" s="16"/>
      <c r="V40" s="2"/>
      <c r="W40" s="1">
        <f t="shared" si="12"/>
        <v>0</v>
      </c>
      <c r="X40" s="1">
        <v>14</v>
      </c>
      <c r="Y40" s="1">
        <f t="shared" ref="Y40:Y46" si="14">W40-X40</f>
        <v>-14</v>
      </c>
    </row>
    <row r="41" spans="1:25" x14ac:dyDescent="0.35">
      <c r="A41" s="1" t="s">
        <v>7</v>
      </c>
      <c r="B41" s="2">
        <v>5</v>
      </c>
      <c r="C41" s="2">
        <v>5</v>
      </c>
      <c r="D41" s="2">
        <v>6</v>
      </c>
      <c r="E41" s="10">
        <v>3</v>
      </c>
      <c r="F41" s="2">
        <v>4</v>
      </c>
      <c r="G41" s="13">
        <v>4</v>
      </c>
      <c r="H41" s="2">
        <v>3</v>
      </c>
      <c r="I41" s="16">
        <v>4</v>
      </c>
      <c r="J41" s="2">
        <v>5</v>
      </c>
      <c r="K41" s="1">
        <f t="shared" si="11"/>
        <v>39</v>
      </c>
      <c r="L41" s="1">
        <v>6</v>
      </c>
      <c r="M41" s="1">
        <f t="shared" si="13"/>
        <v>33</v>
      </c>
      <c r="N41" s="2">
        <v>4</v>
      </c>
      <c r="O41" s="2">
        <v>5</v>
      </c>
      <c r="P41" s="13">
        <v>3</v>
      </c>
      <c r="Q41" s="2">
        <v>5</v>
      </c>
      <c r="R41" s="16">
        <v>6</v>
      </c>
      <c r="S41" s="13">
        <v>5</v>
      </c>
      <c r="T41" s="10">
        <v>4</v>
      </c>
      <c r="U41" s="16">
        <v>6</v>
      </c>
      <c r="V41" s="2">
        <v>4</v>
      </c>
      <c r="W41" s="1">
        <f t="shared" si="12"/>
        <v>42</v>
      </c>
      <c r="X41" s="1">
        <v>6</v>
      </c>
      <c r="Y41" s="1">
        <f t="shared" si="14"/>
        <v>36</v>
      </c>
    </row>
    <row r="42" spans="1:25" x14ac:dyDescent="0.35">
      <c r="A42" s="1" t="s">
        <v>0</v>
      </c>
      <c r="B42" s="2">
        <v>10</v>
      </c>
      <c r="C42" s="2">
        <v>5</v>
      </c>
      <c r="D42" s="2">
        <v>8</v>
      </c>
      <c r="E42" s="10">
        <v>5</v>
      </c>
      <c r="F42" s="2">
        <v>7</v>
      </c>
      <c r="G42" s="13">
        <v>6</v>
      </c>
      <c r="H42" s="2">
        <v>4</v>
      </c>
      <c r="I42" s="16">
        <v>6</v>
      </c>
      <c r="J42" s="2">
        <v>9</v>
      </c>
      <c r="K42" s="1">
        <f t="shared" si="11"/>
        <v>60</v>
      </c>
      <c r="L42" s="1">
        <v>24</v>
      </c>
      <c r="M42" s="1">
        <f t="shared" si="13"/>
        <v>36</v>
      </c>
      <c r="N42" s="2">
        <v>5</v>
      </c>
      <c r="O42" s="2">
        <v>7</v>
      </c>
      <c r="P42" s="13">
        <v>3</v>
      </c>
      <c r="Q42" s="2">
        <v>7</v>
      </c>
      <c r="R42" s="16">
        <v>9</v>
      </c>
      <c r="S42" s="13">
        <v>8</v>
      </c>
      <c r="T42" s="10">
        <v>5</v>
      </c>
      <c r="U42" s="16">
        <v>10</v>
      </c>
      <c r="V42" s="2">
        <v>6</v>
      </c>
      <c r="W42" s="1">
        <f t="shared" si="12"/>
        <v>60</v>
      </c>
      <c r="X42" s="1">
        <v>24</v>
      </c>
      <c r="Y42" s="1">
        <f t="shared" si="14"/>
        <v>36</v>
      </c>
    </row>
    <row r="43" spans="1:25" x14ac:dyDescent="0.35">
      <c r="A43" s="1" t="s">
        <v>2</v>
      </c>
      <c r="B43" s="2">
        <v>4</v>
      </c>
      <c r="C43" s="2">
        <v>5</v>
      </c>
      <c r="D43" s="2">
        <v>6</v>
      </c>
      <c r="E43" s="10">
        <v>3</v>
      </c>
      <c r="F43" s="2">
        <v>5</v>
      </c>
      <c r="G43" s="13">
        <v>4</v>
      </c>
      <c r="H43" s="2">
        <v>3</v>
      </c>
      <c r="I43" s="16">
        <v>3</v>
      </c>
      <c r="J43" s="2">
        <v>5</v>
      </c>
      <c r="K43" s="1">
        <f t="shared" si="11"/>
        <v>38</v>
      </c>
      <c r="L43" s="1">
        <v>8</v>
      </c>
      <c r="M43" s="1">
        <f t="shared" si="13"/>
        <v>30</v>
      </c>
      <c r="N43" s="2">
        <v>4</v>
      </c>
      <c r="O43" s="2">
        <v>6</v>
      </c>
      <c r="P43" s="13">
        <v>4</v>
      </c>
      <c r="Q43" s="2">
        <v>5</v>
      </c>
      <c r="R43" s="16">
        <v>6</v>
      </c>
      <c r="S43" s="13">
        <v>4</v>
      </c>
      <c r="T43" s="10">
        <v>4</v>
      </c>
      <c r="U43" s="16">
        <v>4</v>
      </c>
      <c r="V43" s="2">
        <v>4</v>
      </c>
      <c r="W43" s="1">
        <f t="shared" si="12"/>
        <v>41</v>
      </c>
      <c r="X43" s="1">
        <v>8</v>
      </c>
      <c r="Y43" s="1">
        <f t="shared" si="14"/>
        <v>33</v>
      </c>
    </row>
    <row r="44" spans="1:25" x14ac:dyDescent="0.35">
      <c r="A44" s="1" t="s">
        <v>3</v>
      </c>
      <c r="B44" s="2">
        <v>7</v>
      </c>
      <c r="C44" s="2">
        <v>5</v>
      </c>
      <c r="D44" s="2">
        <v>5</v>
      </c>
      <c r="E44" s="10">
        <v>3</v>
      </c>
      <c r="F44" s="2">
        <v>4</v>
      </c>
      <c r="G44" s="13">
        <v>4</v>
      </c>
      <c r="H44" s="2">
        <v>4</v>
      </c>
      <c r="I44" s="16">
        <v>5</v>
      </c>
      <c r="J44" s="2">
        <v>5</v>
      </c>
      <c r="K44" s="1">
        <f t="shared" si="11"/>
        <v>42</v>
      </c>
      <c r="L44" s="1">
        <v>9</v>
      </c>
      <c r="M44" s="1">
        <f t="shared" si="13"/>
        <v>33</v>
      </c>
      <c r="N44" s="2">
        <v>5</v>
      </c>
      <c r="O44" s="2">
        <v>5</v>
      </c>
      <c r="P44" s="13">
        <v>5</v>
      </c>
      <c r="Q44" s="2">
        <v>5</v>
      </c>
      <c r="R44" s="16">
        <v>5</v>
      </c>
      <c r="S44" s="13">
        <v>6</v>
      </c>
      <c r="T44" s="10">
        <v>3</v>
      </c>
      <c r="U44" s="16">
        <v>4</v>
      </c>
      <c r="V44" s="2">
        <v>8</v>
      </c>
      <c r="W44" s="1">
        <f t="shared" si="12"/>
        <v>46</v>
      </c>
      <c r="X44" s="1">
        <v>9</v>
      </c>
      <c r="Y44" s="1">
        <f t="shared" si="14"/>
        <v>37</v>
      </c>
    </row>
    <row r="45" spans="1:25" x14ac:dyDescent="0.35">
      <c r="A45" s="1" t="s">
        <v>4</v>
      </c>
      <c r="B45" s="2">
        <v>4</v>
      </c>
      <c r="C45" s="2">
        <v>4</v>
      </c>
      <c r="D45" s="2">
        <v>6</v>
      </c>
      <c r="E45" s="10">
        <v>4</v>
      </c>
      <c r="F45" s="2">
        <v>4</v>
      </c>
      <c r="G45" s="13">
        <v>4</v>
      </c>
      <c r="H45" s="2">
        <v>3</v>
      </c>
      <c r="I45" s="16">
        <v>5</v>
      </c>
      <c r="J45" s="2">
        <v>5</v>
      </c>
      <c r="K45" s="1">
        <f t="shared" si="11"/>
        <v>39</v>
      </c>
      <c r="L45" s="1">
        <v>11</v>
      </c>
      <c r="M45" s="1">
        <f t="shared" si="13"/>
        <v>28</v>
      </c>
      <c r="N45" s="2">
        <v>5</v>
      </c>
      <c r="O45" s="2">
        <v>5</v>
      </c>
      <c r="P45" s="13">
        <v>6</v>
      </c>
      <c r="Q45" s="2">
        <v>5</v>
      </c>
      <c r="R45" s="16">
        <v>5</v>
      </c>
      <c r="S45" s="13">
        <v>8</v>
      </c>
      <c r="T45" s="10">
        <v>5</v>
      </c>
      <c r="U45" s="16">
        <v>5</v>
      </c>
      <c r="V45" s="2">
        <v>6</v>
      </c>
      <c r="W45" s="1">
        <f t="shared" si="12"/>
        <v>50</v>
      </c>
      <c r="X45" s="1">
        <v>11</v>
      </c>
      <c r="Y45" s="1">
        <f t="shared" si="14"/>
        <v>39</v>
      </c>
    </row>
    <row r="46" spans="1:25" x14ac:dyDescent="0.35">
      <c r="A46" s="1" t="s">
        <v>8</v>
      </c>
      <c r="B46" s="2">
        <v>8</v>
      </c>
      <c r="C46" s="2">
        <v>5</v>
      </c>
      <c r="D46" s="2">
        <v>8</v>
      </c>
      <c r="E46" s="10">
        <v>4</v>
      </c>
      <c r="F46" s="2">
        <v>6</v>
      </c>
      <c r="G46" s="13">
        <v>4</v>
      </c>
      <c r="H46" s="2">
        <v>3</v>
      </c>
      <c r="I46" s="16">
        <v>7</v>
      </c>
      <c r="J46" s="2">
        <v>7</v>
      </c>
      <c r="K46" s="1">
        <f t="shared" si="11"/>
        <v>52</v>
      </c>
      <c r="L46" s="1">
        <v>25</v>
      </c>
      <c r="M46" s="1">
        <f t="shared" si="13"/>
        <v>27</v>
      </c>
      <c r="N46" s="2">
        <v>6</v>
      </c>
      <c r="O46" s="2">
        <v>6</v>
      </c>
      <c r="P46" s="13">
        <v>4</v>
      </c>
      <c r="Q46" s="2">
        <v>9</v>
      </c>
      <c r="R46" s="16">
        <v>7</v>
      </c>
      <c r="S46" s="13">
        <v>10</v>
      </c>
      <c r="T46" s="10">
        <v>5</v>
      </c>
      <c r="U46" s="16">
        <v>8</v>
      </c>
      <c r="V46" s="2">
        <v>6</v>
      </c>
      <c r="W46" s="1">
        <f t="shared" si="12"/>
        <v>61</v>
      </c>
      <c r="X46" s="1">
        <v>25</v>
      </c>
      <c r="Y46" s="1">
        <f t="shared" si="14"/>
        <v>36</v>
      </c>
    </row>
    <row r="47" spans="1:25" x14ac:dyDescent="0.35">
      <c r="E47" s="9" t="s">
        <v>45</v>
      </c>
      <c r="T47" s="9" t="s">
        <v>46</v>
      </c>
    </row>
    <row r="49" spans="1:25" x14ac:dyDescent="0.35">
      <c r="A49" s="1" t="s">
        <v>47</v>
      </c>
      <c r="B49" s="1">
        <v>1</v>
      </c>
      <c r="C49" s="1">
        <v>2</v>
      </c>
      <c r="D49" s="1">
        <v>3</v>
      </c>
      <c r="E49" s="1">
        <v>4</v>
      </c>
      <c r="F49" s="9">
        <v>5</v>
      </c>
      <c r="G49" s="11">
        <v>6</v>
      </c>
      <c r="H49" s="1">
        <v>7</v>
      </c>
      <c r="I49" s="14">
        <v>8</v>
      </c>
      <c r="J49" s="1">
        <v>9</v>
      </c>
      <c r="K49" s="1" t="s">
        <v>9</v>
      </c>
      <c r="L49" s="1" t="s">
        <v>14</v>
      </c>
      <c r="M49" s="1" t="s">
        <v>20</v>
      </c>
      <c r="N49" s="1">
        <v>10</v>
      </c>
      <c r="O49" s="1">
        <v>11</v>
      </c>
      <c r="P49" s="9">
        <v>12</v>
      </c>
      <c r="Q49" s="1">
        <v>13</v>
      </c>
      <c r="R49" s="14">
        <v>14</v>
      </c>
      <c r="S49" s="11">
        <v>15</v>
      </c>
      <c r="T49" s="1">
        <v>16</v>
      </c>
      <c r="U49" s="14">
        <v>17</v>
      </c>
      <c r="V49" s="1">
        <v>18</v>
      </c>
      <c r="W49" s="1" t="s">
        <v>9</v>
      </c>
      <c r="X49" s="1" t="s">
        <v>14</v>
      </c>
      <c r="Y49" s="1" t="s">
        <v>20</v>
      </c>
    </row>
    <row r="50" spans="1:25" x14ac:dyDescent="0.35">
      <c r="A50" s="1" t="s">
        <v>15</v>
      </c>
      <c r="B50" s="1">
        <v>4</v>
      </c>
      <c r="C50" s="1">
        <v>3</v>
      </c>
      <c r="D50" s="1">
        <v>5</v>
      </c>
      <c r="E50" s="1">
        <v>4</v>
      </c>
      <c r="F50" s="9">
        <v>3</v>
      </c>
      <c r="G50" s="11">
        <v>4</v>
      </c>
      <c r="H50" s="1">
        <v>3</v>
      </c>
      <c r="I50" s="14">
        <v>5</v>
      </c>
      <c r="J50" s="1">
        <v>4</v>
      </c>
      <c r="K50" s="1">
        <f>SUM(B50:J50)</f>
        <v>35</v>
      </c>
      <c r="L50" s="7"/>
      <c r="M50" s="7"/>
      <c r="N50" s="1">
        <v>3</v>
      </c>
      <c r="O50" s="1">
        <v>5</v>
      </c>
      <c r="P50" s="9">
        <v>3</v>
      </c>
      <c r="Q50" s="1">
        <v>5</v>
      </c>
      <c r="R50" s="14">
        <v>4</v>
      </c>
      <c r="S50" s="11">
        <v>4</v>
      </c>
      <c r="T50" s="1">
        <v>4</v>
      </c>
      <c r="U50" s="14">
        <v>4</v>
      </c>
      <c r="V50" s="1">
        <v>3</v>
      </c>
      <c r="W50" s="1">
        <f>SUM(N50:V50)</f>
        <v>35</v>
      </c>
      <c r="X50" s="8"/>
      <c r="Y50" s="7"/>
    </row>
    <row r="51" spans="1:25" x14ac:dyDescent="0.35">
      <c r="A51" s="1" t="s">
        <v>1</v>
      </c>
      <c r="B51" s="5"/>
      <c r="C51" s="5"/>
      <c r="D51" s="5"/>
      <c r="E51" s="5"/>
      <c r="F51" s="5"/>
      <c r="G51" s="12"/>
      <c r="H51" s="5"/>
      <c r="I51" s="15"/>
      <c r="J51" s="5"/>
      <c r="K51" s="5"/>
      <c r="L51" s="5"/>
      <c r="M51" s="5"/>
      <c r="N51" s="5"/>
      <c r="O51" s="5"/>
      <c r="P51" s="5"/>
      <c r="Q51" s="5"/>
      <c r="R51" s="15"/>
      <c r="S51" s="12"/>
      <c r="T51" s="5"/>
      <c r="U51" s="15"/>
      <c r="V51" s="5"/>
      <c r="W51" s="5"/>
      <c r="X51" s="5"/>
      <c r="Y51" s="5"/>
    </row>
    <row r="52" spans="1:25" x14ac:dyDescent="0.35">
      <c r="A52" s="1" t="s">
        <v>5</v>
      </c>
      <c r="B52" s="2">
        <v>5</v>
      </c>
      <c r="C52" s="2">
        <v>5</v>
      </c>
      <c r="D52" s="2">
        <v>8</v>
      </c>
      <c r="E52" s="2">
        <v>5</v>
      </c>
      <c r="F52" s="10">
        <v>4</v>
      </c>
      <c r="G52" s="13">
        <v>5</v>
      </c>
      <c r="H52" s="2">
        <v>4</v>
      </c>
      <c r="I52" s="16">
        <v>9</v>
      </c>
      <c r="J52" s="2">
        <v>8</v>
      </c>
      <c r="K52" s="1">
        <f t="shared" ref="K52:K59" si="15">SUM(B52:J52)</f>
        <v>53</v>
      </c>
      <c r="L52" s="1">
        <v>24</v>
      </c>
      <c r="M52" s="1">
        <f>K52-L52</f>
        <v>29</v>
      </c>
      <c r="N52" s="2">
        <v>4</v>
      </c>
      <c r="O52" s="2">
        <v>10</v>
      </c>
      <c r="P52" s="10">
        <v>3</v>
      </c>
      <c r="Q52" s="2">
        <v>8</v>
      </c>
      <c r="R52" s="16">
        <v>7</v>
      </c>
      <c r="S52" s="13">
        <v>5</v>
      </c>
      <c r="T52" s="2">
        <v>8</v>
      </c>
      <c r="U52" s="16">
        <v>6</v>
      </c>
      <c r="V52" s="2">
        <v>5</v>
      </c>
      <c r="W52" s="1">
        <f t="shared" ref="W52:W59" si="16">SUM(N52:V52)</f>
        <v>56</v>
      </c>
      <c r="X52" s="1">
        <v>24</v>
      </c>
      <c r="Y52" s="1">
        <f>W52-X52</f>
        <v>32</v>
      </c>
    </row>
    <row r="53" spans="1:25" x14ac:dyDescent="0.35">
      <c r="A53" s="1" t="s">
        <v>6</v>
      </c>
      <c r="B53" s="2">
        <v>4</v>
      </c>
      <c r="C53" s="2">
        <v>6</v>
      </c>
      <c r="D53" s="2">
        <v>8</v>
      </c>
      <c r="E53" s="2">
        <v>6</v>
      </c>
      <c r="F53" s="10">
        <v>4</v>
      </c>
      <c r="G53" s="13">
        <v>7</v>
      </c>
      <c r="H53" s="2">
        <v>5</v>
      </c>
      <c r="I53" s="16">
        <v>13</v>
      </c>
      <c r="J53" s="2">
        <v>5</v>
      </c>
      <c r="K53" s="1">
        <f t="shared" si="15"/>
        <v>58</v>
      </c>
      <c r="L53" s="1">
        <v>14</v>
      </c>
      <c r="M53" s="1">
        <f t="shared" ref="M53:M59" si="17">K53-L53</f>
        <v>44</v>
      </c>
      <c r="N53" s="2"/>
      <c r="O53" s="2"/>
      <c r="P53" s="10"/>
      <c r="Q53" s="2"/>
      <c r="R53" s="16"/>
      <c r="S53" s="13"/>
      <c r="T53" s="2"/>
      <c r="U53" s="16"/>
      <c r="V53" s="2"/>
      <c r="W53" s="1">
        <f t="shared" si="16"/>
        <v>0</v>
      </c>
      <c r="X53" s="1">
        <v>14</v>
      </c>
      <c r="Y53" s="1">
        <f t="shared" ref="Y53:Y59" si="18">W53-X53</f>
        <v>-14</v>
      </c>
    </row>
    <row r="54" spans="1:25" x14ac:dyDescent="0.35">
      <c r="A54" s="1" t="s">
        <v>7</v>
      </c>
      <c r="B54" s="2">
        <v>4</v>
      </c>
      <c r="C54" s="2">
        <v>4</v>
      </c>
      <c r="D54" s="2">
        <v>6</v>
      </c>
      <c r="E54" s="2">
        <v>4</v>
      </c>
      <c r="F54" s="10">
        <v>4</v>
      </c>
      <c r="G54" s="13">
        <v>5</v>
      </c>
      <c r="H54" s="2">
        <v>3</v>
      </c>
      <c r="I54" s="16">
        <v>6</v>
      </c>
      <c r="J54" s="2">
        <v>5</v>
      </c>
      <c r="K54" s="1">
        <f t="shared" si="15"/>
        <v>41</v>
      </c>
      <c r="L54" s="1">
        <v>6</v>
      </c>
      <c r="M54" s="1">
        <f t="shared" si="17"/>
        <v>35</v>
      </c>
      <c r="N54" s="2">
        <v>4</v>
      </c>
      <c r="O54" s="2">
        <v>9</v>
      </c>
      <c r="P54" s="10">
        <v>3</v>
      </c>
      <c r="Q54" s="2">
        <v>5</v>
      </c>
      <c r="R54" s="16">
        <v>4</v>
      </c>
      <c r="S54" s="13">
        <v>4</v>
      </c>
      <c r="T54" s="2">
        <v>5</v>
      </c>
      <c r="U54" s="16">
        <v>5</v>
      </c>
      <c r="V54" s="2">
        <v>2</v>
      </c>
      <c r="W54" s="1">
        <f t="shared" si="16"/>
        <v>41</v>
      </c>
      <c r="X54" s="1">
        <v>6</v>
      </c>
      <c r="Y54" s="1">
        <f t="shared" si="18"/>
        <v>35</v>
      </c>
    </row>
    <row r="55" spans="1:25" x14ac:dyDescent="0.35">
      <c r="A55" s="1" t="s">
        <v>0</v>
      </c>
      <c r="B55" s="2">
        <v>5</v>
      </c>
      <c r="C55" s="2">
        <v>6</v>
      </c>
      <c r="D55" s="2">
        <v>8</v>
      </c>
      <c r="E55" s="2">
        <v>6</v>
      </c>
      <c r="F55" s="10">
        <v>5</v>
      </c>
      <c r="G55" s="13">
        <v>8</v>
      </c>
      <c r="H55" s="2">
        <v>3</v>
      </c>
      <c r="I55" s="16">
        <v>9</v>
      </c>
      <c r="J55" s="2">
        <v>6</v>
      </c>
      <c r="K55" s="1">
        <f t="shared" si="15"/>
        <v>56</v>
      </c>
      <c r="L55" s="1">
        <v>24</v>
      </c>
      <c r="M55" s="1">
        <f t="shared" si="17"/>
        <v>32</v>
      </c>
      <c r="N55" s="2">
        <v>5</v>
      </c>
      <c r="O55" s="2">
        <v>10</v>
      </c>
      <c r="P55" s="10">
        <v>7</v>
      </c>
      <c r="Q55" s="2">
        <v>6</v>
      </c>
      <c r="R55" s="16">
        <v>6</v>
      </c>
      <c r="S55" s="13">
        <v>5</v>
      </c>
      <c r="T55" s="2">
        <v>6</v>
      </c>
      <c r="U55" s="16">
        <v>5</v>
      </c>
      <c r="V55" s="2">
        <v>6</v>
      </c>
      <c r="W55" s="1">
        <f t="shared" si="16"/>
        <v>56</v>
      </c>
      <c r="X55" s="1">
        <v>24</v>
      </c>
      <c r="Y55" s="1">
        <f t="shared" si="18"/>
        <v>32</v>
      </c>
    </row>
    <row r="56" spans="1:25" x14ac:dyDescent="0.35">
      <c r="A56" s="1" t="s">
        <v>2</v>
      </c>
      <c r="B56" s="2"/>
      <c r="C56" s="2"/>
      <c r="D56" s="2"/>
      <c r="E56" s="2"/>
      <c r="F56" s="10"/>
      <c r="G56" s="13"/>
      <c r="H56" s="2"/>
      <c r="I56" s="16"/>
      <c r="J56" s="2"/>
      <c r="K56" s="1">
        <f t="shared" si="15"/>
        <v>0</v>
      </c>
      <c r="L56" s="1">
        <v>8</v>
      </c>
      <c r="M56" s="1">
        <f t="shared" si="17"/>
        <v>-8</v>
      </c>
      <c r="N56" s="2">
        <v>3</v>
      </c>
      <c r="O56" s="2">
        <v>5</v>
      </c>
      <c r="P56" s="10">
        <v>3</v>
      </c>
      <c r="Q56" s="2">
        <v>7</v>
      </c>
      <c r="R56" s="16">
        <v>5</v>
      </c>
      <c r="S56" s="13">
        <v>4</v>
      </c>
      <c r="T56" s="2">
        <v>5</v>
      </c>
      <c r="U56" s="16">
        <v>6</v>
      </c>
      <c r="V56" s="2">
        <v>3</v>
      </c>
      <c r="W56" s="1">
        <f t="shared" si="16"/>
        <v>41</v>
      </c>
      <c r="X56" s="1">
        <v>8</v>
      </c>
      <c r="Y56" s="1">
        <f t="shared" si="18"/>
        <v>33</v>
      </c>
    </row>
    <row r="57" spans="1:25" x14ac:dyDescent="0.35">
      <c r="A57" s="1" t="s">
        <v>3</v>
      </c>
      <c r="B57" s="2"/>
      <c r="C57" s="2"/>
      <c r="D57" s="2"/>
      <c r="E57" s="2"/>
      <c r="F57" s="10"/>
      <c r="G57" s="13"/>
      <c r="H57" s="2"/>
      <c r="I57" s="16"/>
      <c r="J57" s="2"/>
      <c r="K57" s="1">
        <f t="shared" si="15"/>
        <v>0</v>
      </c>
      <c r="L57" s="1">
        <v>9</v>
      </c>
      <c r="M57" s="1">
        <f t="shared" si="17"/>
        <v>-9</v>
      </c>
      <c r="N57" s="2">
        <v>4</v>
      </c>
      <c r="O57" s="2">
        <v>7</v>
      </c>
      <c r="P57" s="10">
        <v>4</v>
      </c>
      <c r="Q57" s="2">
        <v>4</v>
      </c>
      <c r="R57" s="16">
        <v>7</v>
      </c>
      <c r="S57" s="13">
        <v>4</v>
      </c>
      <c r="T57" s="2">
        <v>5</v>
      </c>
      <c r="U57" s="16">
        <v>5</v>
      </c>
      <c r="V57" s="2">
        <v>4</v>
      </c>
      <c r="W57" s="1">
        <f t="shared" si="16"/>
        <v>44</v>
      </c>
      <c r="X57" s="1">
        <v>9</v>
      </c>
      <c r="Y57" s="1">
        <f t="shared" si="18"/>
        <v>35</v>
      </c>
    </row>
    <row r="58" spans="1:25" x14ac:dyDescent="0.35">
      <c r="A58" s="1" t="s">
        <v>4</v>
      </c>
      <c r="B58" s="2">
        <v>4</v>
      </c>
      <c r="C58" s="2">
        <v>5</v>
      </c>
      <c r="D58" s="2">
        <v>6</v>
      </c>
      <c r="E58" s="2">
        <v>5</v>
      </c>
      <c r="F58" s="10">
        <v>4</v>
      </c>
      <c r="G58" s="13">
        <v>3</v>
      </c>
      <c r="H58" s="2">
        <v>5</v>
      </c>
      <c r="I58" s="16">
        <v>6</v>
      </c>
      <c r="J58" s="2">
        <v>5</v>
      </c>
      <c r="K58" s="1">
        <f t="shared" si="15"/>
        <v>43</v>
      </c>
      <c r="L58" s="1">
        <v>11</v>
      </c>
      <c r="M58" s="1">
        <f t="shared" si="17"/>
        <v>32</v>
      </c>
      <c r="N58" s="2">
        <v>4</v>
      </c>
      <c r="O58" s="2">
        <v>6</v>
      </c>
      <c r="P58" s="10">
        <v>4</v>
      </c>
      <c r="Q58" s="2">
        <v>7</v>
      </c>
      <c r="R58" s="16">
        <v>5</v>
      </c>
      <c r="S58" s="13">
        <v>3</v>
      </c>
      <c r="T58" s="2">
        <v>4</v>
      </c>
      <c r="U58" s="16">
        <v>6</v>
      </c>
      <c r="V58" s="2">
        <v>6</v>
      </c>
      <c r="W58" s="1">
        <f t="shared" si="16"/>
        <v>45</v>
      </c>
      <c r="X58" s="1">
        <v>11</v>
      </c>
      <c r="Y58" s="1">
        <f t="shared" si="18"/>
        <v>34</v>
      </c>
    </row>
    <row r="59" spans="1:25" x14ac:dyDescent="0.35">
      <c r="A59" s="1" t="s">
        <v>8</v>
      </c>
      <c r="B59" s="2">
        <v>8</v>
      </c>
      <c r="C59" s="2">
        <v>5</v>
      </c>
      <c r="D59" s="2">
        <v>9</v>
      </c>
      <c r="E59" s="2">
        <v>8</v>
      </c>
      <c r="F59" s="10">
        <v>5</v>
      </c>
      <c r="G59" s="13">
        <v>10</v>
      </c>
      <c r="H59" s="2">
        <v>3</v>
      </c>
      <c r="I59" s="16">
        <v>7</v>
      </c>
      <c r="J59" s="2">
        <v>14</v>
      </c>
      <c r="K59" s="1">
        <f t="shared" si="15"/>
        <v>69</v>
      </c>
      <c r="L59" s="1">
        <v>25</v>
      </c>
      <c r="M59" s="1">
        <f t="shared" si="17"/>
        <v>44</v>
      </c>
      <c r="N59" s="2">
        <v>4</v>
      </c>
      <c r="O59" s="2">
        <v>9</v>
      </c>
      <c r="P59" s="10">
        <v>4</v>
      </c>
      <c r="Q59" s="2">
        <v>7</v>
      </c>
      <c r="R59" s="16">
        <v>6</v>
      </c>
      <c r="S59" s="13">
        <v>5</v>
      </c>
      <c r="T59" s="2">
        <v>9</v>
      </c>
      <c r="U59" s="16">
        <v>7</v>
      </c>
      <c r="V59" s="2">
        <v>3</v>
      </c>
      <c r="W59" s="1">
        <f t="shared" si="16"/>
        <v>54</v>
      </c>
      <c r="X59" s="1">
        <v>25</v>
      </c>
      <c r="Y59" s="1">
        <f t="shared" si="18"/>
        <v>29</v>
      </c>
    </row>
    <row r="60" spans="1:25" x14ac:dyDescent="0.35">
      <c r="E60" s="22"/>
      <c r="F60" s="9" t="s">
        <v>48</v>
      </c>
      <c r="P60" s="9" t="s">
        <v>50</v>
      </c>
      <c r="T60" s="22"/>
    </row>
  </sheetData>
  <mergeCells count="3">
    <mergeCell ref="A12:N12"/>
    <mergeCell ref="P12:Q12"/>
    <mergeCell ref="T12:Z12"/>
  </mergeCells>
  <pageMargins left="0.7" right="0.7" top="0.75" bottom="0.75" header="0.3" footer="0.3"/>
  <pageSetup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howOutlineSymbols="0"/>
  </sheetPr>
  <dimension ref="A1:Z60"/>
  <sheetViews>
    <sheetView showOutlineSymbols="0" zoomScale="60" zoomScaleNormal="60" workbookViewId="0">
      <selection activeCell="AE37" sqref="AE37"/>
    </sheetView>
  </sheetViews>
  <sheetFormatPr defaultRowHeight="14.5" outlineLevelRow="1" outlineLevelCol="2" x14ac:dyDescent="0.35"/>
  <cols>
    <col min="1" max="1" width="10.7265625" bestFit="1" customWidth="1"/>
    <col min="2" max="2" width="11.36328125" bestFit="1" customWidth="1" outlineLevel="2"/>
    <col min="3" max="10" width="9.1796875" outlineLevel="2"/>
    <col min="11" max="12" width="9.1796875" outlineLevel="1"/>
    <col min="14" max="22" width="9.1796875" outlineLevel="2"/>
    <col min="23" max="24" width="9.1796875" outlineLevel="1"/>
  </cols>
  <sheetData>
    <row r="1" spans="1:26" x14ac:dyDescent="0.35">
      <c r="A1" s="19" t="s">
        <v>1</v>
      </c>
      <c r="B1" t="s">
        <v>43</v>
      </c>
    </row>
    <row r="2" spans="1:26" x14ac:dyDescent="0.35">
      <c r="A2" s="20" t="s">
        <v>2</v>
      </c>
      <c r="B2">
        <v>32.5</v>
      </c>
      <c r="F2" s="31" t="s">
        <v>76</v>
      </c>
    </row>
    <row r="3" spans="1:26" x14ac:dyDescent="0.35">
      <c r="A3" s="20" t="s">
        <v>3</v>
      </c>
      <c r="B3">
        <v>31.5</v>
      </c>
    </row>
    <row r="4" spans="1:26" x14ac:dyDescent="0.35">
      <c r="A4" s="20" t="s">
        <v>4</v>
      </c>
      <c r="B4">
        <v>30.5</v>
      </c>
    </row>
    <row r="5" spans="1:26" x14ac:dyDescent="0.35">
      <c r="A5" s="20" t="s">
        <v>8</v>
      </c>
      <c r="B5">
        <v>30</v>
      </c>
    </row>
    <row r="6" spans="1:26" x14ac:dyDescent="0.35">
      <c r="A6" s="20" t="s">
        <v>0</v>
      </c>
      <c r="B6">
        <v>26</v>
      </c>
    </row>
    <row r="7" spans="1:26" x14ac:dyDescent="0.35">
      <c r="A7" s="20" t="s">
        <v>6</v>
      </c>
      <c r="B7">
        <v>25.5</v>
      </c>
    </row>
    <row r="8" spans="1:26" x14ac:dyDescent="0.35">
      <c r="A8" s="20" t="s">
        <v>5</v>
      </c>
      <c r="B8">
        <v>25.5</v>
      </c>
    </row>
    <row r="9" spans="1:26" x14ac:dyDescent="0.35">
      <c r="A9" s="20" t="s">
        <v>7</v>
      </c>
      <c r="B9">
        <v>9.5</v>
      </c>
    </row>
    <row r="10" spans="1:26" x14ac:dyDescent="0.35">
      <c r="A10" s="20" t="s">
        <v>42</v>
      </c>
      <c r="B10">
        <v>211</v>
      </c>
    </row>
    <row r="12" spans="1:26" x14ac:dyDescent="0.35">
      <c r="A12" s="44" t="s">
        <v>59</v>
      </c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P12" s="45" t="s">
        <v>27</v>
      </c>
      <c r="Q12" s="46"/>
      <c r="R12" s="17" t="s">
        <v>36</v>
      </c>
      <c r="T12" s="44" t="s">
        <v>37</v>
      </c>
      <c r="U12" s="44"/>
      <c r="V12" s="44"/>
      <c r="W12" s="44"/>
      <c r="X12" s="44"/>
      <c r="Y12" s="44"/>
      <c r="Z12" s="44"/>
    </row>
    <row r="13" spans="1:26" x14ac:dyDescent="0.35">
      <c r="A13" s="1" t="s">
        <v>1</v>
      </c>
      <c r="B13" s="1" t="s">
        <v>12</v>
      </c>
      <c r="C13" s="1" t="s">
        <v>27</v>
      </c>
      <c r="D13" s="1" t="s">
        <v>13</v>
      </c>
      <c r="E13" s="1" t="s">
        <v>27</v>
      </c>
      <c r="F13" s="1" t="s">
        <v>23</v>
      </c>
      <c r="G13" s="1" t="s">
        <v>27</v>
      </c>
      <c r="H13" s="1" t="s">
        <v>24</v>
      </c>
      <c r="I13" s="1" t="s">
        <v>27</v>
      </c>
      <c r="J13" s="1" t="s">
        <v>25</v>
      </c>
      <c r="K13" s="1" t="s">
        <v>27</v>
      </c>
      <c r="L13" s="1" t="s">
        <v>26</v>
      </c>
      <c r="M13" s="1" t="s">
        <v>27</v>
      </c>
      <c r="N13" s="1" t="s">
        <v>9</v>
      </c>
      <c r="P13" s="1" t="s">
        <v>28</v>
      </c>
      <c r="Q13" s="2">
        <v>8</v>
      </c>
      <c r="T13" s="1" t="s">
        <v>1</v>
      </c>
      <c r="U13" s="1" t="s">
        <v>12</v>
      </c>
      <c r="V13" s="1" t="s">
        <v>13</v>
      </c>
      <c r="W13" s="1" t="s">
        <v>23</v>
      </c>
      <c r="X13" s="1" t="s">
        <v>24</v>
      </c>
      <c r="Y13" s="1" t="s">
        <v>25</v>
      </c>
      <c r="Z13" s="1" t="s">
        <v>26</v>
      </c>
    </row>
    <row r="14" spans="1:26" x14ac:dyDescent="0.35">
      <c r="A14" s="1" t="s">
        <v>5</v>
      </c>
      <c r="B14" s="2">
        <f t="shared" ref="B14:B21" si="0">M26</f>
        <v>40</v>
      </c>
      <c r="C14" s="2">
        <v>2.5</v>
      </c>
      <c r="D14" s="3">
        <f t="shared" ref="D14:D21" si="1">Y26</f>
        <v>39</v>
      </c>
      <c r="E14" s="3">
        <v>3</v>
      </c>
      <c r="F14" s="2">
        <f>M39</f>
        <v>31</v>
      </c>
      <c r="G14" s="2">
        <v>5.5</v>
      </c>
      <c r="H14" s="2">
        <f>Y39</f>
        <v>36</v>
      </c>
      <c r="I14" s="2">
        <v>3.5</v>
      </c>
      <c r="J14" s="2">
        <f>M52</f>
        <v>34</v>
      </c>
      <c r="K14" s="2">
        <v>5</v>
      </c>
      <c r="L14" s="2">
        <f>Y52</f>
        <v>37</v>
      </c>
      <c r="M14" s="2">
        <v>6</v>
      </c>
      <c r="N14" s="18">
        <f>C14+E14+G14+I14+K14+M14</f>
        <v>25.5</v>
      </c>
      <c r="P14" s="1" t="s">
        <v>29</v>
      </c>
      <c r="Q14" s="2">
        <v>7</v>
      </c>
      <c r="T14" s="1" t="s">
        <v>5</v>
      </c>
      <c r="U14" s="2" t="s">
        <v>40</v>
      </c>
      <c r="V14" s="2" t="s">
        <v>40</v>
      </c>
      <c r="W14" s="3" t="s">
        <v>40</v>
      </c>
      <c r="X14" s="3" t="s">
        <v>40</v>
      </c>
      <c r="Y14" s="2" t="s">
        <v>40</v>
      </c>
      <c r="Z14" s="2" t="s">
        <v>40</v>
      </c>
    </row>
    <row r="15" spans="1:26" x14ac:dyDescent="0.35">
      <c r="A15" s="1" t="s">
        <v>6</v>
      </c>
      <c r="B15" s="2">
        <f t="shared" si="0"/>
        <v>35</v>
      </c>
      <c r="C15" s="2">
        <v>6</v>
      </c>
      <c r="D15" s="3">
        <f t="shared" si="1"/>
        <v>27</v>
      </c>
      <c r="E15" s="3">
        <v>8</v>
      </c>
      <c r="F15" s="2">
        <f t="shared" ref="F15:F21" si="2">M40</f>
        <v>37</v>
      </c>
      <c r="G15" s="2">
        <v>3</v>
      </c>
      <c r="H15" s="2">
        <f>Y40</f>
        <v>33</v>
      </c>
      <c r="I15" s="2">
        <v>6.5</v>
      </c>
      <c r="J15" s="2">
        <f t="shared" ref="J15:J21" si="3">M53</f>
        <v>-14</v>
      </c>
      <c r="K15" s="2">
        <v>1</v>
      </c>
      <c r="L15" s="2">
        <f t="shared" ref="L15:L21" si="4">Y53</f>
        <v>-14</v>
      </c>
      <c r="M15" s="2">
        <v>1</v>
      </c>
      <c r="N15" s="18">
        <f t="shared" ref="N15:N21" si="5">C15+E15+G15+I15+K15+M15</f>
        <v>25.5</v>
      </c>
      <c r="P15" s="1" t="s">
        <v>30</v>
      </c>
      <c r="Q15" s="2">
        <v>6</v>
      </c>
      <c r="T15" s="1" t="s">
        <v>6</v>
      </c>
      <c r="U15" s="2" t="s">
        <v>40</v>
      </c>
      <c r="V15" s="2" t="s">
        <v>40</v>
      </c>
      <c r="W15" s="3" t="s">
        <v>40</v>
      </c>
      <c r="X15" s="3" t="s">
        <v>40</v>
      </c>
      <c r="Y15" s="2" t="s">
        <v>40</v>
      </c>
      <c r="Z15" s="2" t="s">
        <v>40</v>
      </c>
    </row>
    <row r="16" spans="1:26" x14ac:dyDescent="0.35">
      <c r="A16" s="1" t="s">
        <v>7</v>
      </c>
      <c r="B16" s="2">
        <f t="shared" si="0"/>
        <v>40</v>
      </c>
      <c r="C16" s="2">
        <v>2.5</v>
      </c>
      <c r="D16" s="3">
        <f t="shared" si="1"/>
        <v>-6</v>
      </c>
      <c r="E16" s="3">
        <v>1</v>
      </c>
      <c r="F16" s="2">
        <f t="shared" si="2"/>
        <v>-6</v>
      </c>
      <c r="G16" s="2">
        <v>1</v>
      </c>
      <c r="H16" s="2">
        <f t="shared" ref="H16:H21" si="6">Y41</f>
        <v>41</v>
      </c>
      <c r="I16" s="2">
        <v>1</v>
      </c>
      <c r="J16" s="2">
        <f t="shared" si="3"/>
        <v>39</v>
      </c>
      <c r="K16" s="2">
        <v>3</v>
      </c>
      <c r="L16" s="2">
        <f t="shared" si="4"/>
        <v>-6</v>
      </c>
      <c r="M16" s="2">
        <v>1</v>
      </c>
      <c r="N16" s="18">
        <f t="shared" si="5"/>
        <v>9.5</v>
      </c>
      <c r="P16" s="1" t="s">
        <v>31</v>
      </c>
      <c r="Q16" s="2">
        <v>5</v>
      </c>
      <c r="T16" s="1" t="s">
        <v>7</v>
      </c>
      <c r="U16" s="10">
        <v>9.9</v>
      </c>
      <c r="V16" s="2" t="s">
        <v>40</v>
      </c>
      <c r="W16" s="3" t="s">
        <v>40</v>
      </c>
      <c r="X16" s="3">
        <v>20</v>
      </c>
      <c r="Y16" s="2">
        <v>8.1999999999999993</v>
      </c>
      <c r="Z16" s="2" t="s">
        <v>40</v>
      </c>
    </row>
    <row r="17" spans="1:26" x14ac:dyDescent="0.35">
      <c r="A17" s="1" t="s">
        <v>0</v>
      </c>
      <c r="B17" s="2">
        <f t="shared" si="0"/>
        <v>27</v>
      </c>
      <c r="C17" s="2">
        <v>8</v>
      </c>
      <c r="D17" s="3">
        <f t="shared" si="1"/>
        <v>29</v>
      </c>
      <c r="E17" s="3">
        <v>7</v>
      </c>
      <c r="F17" s="2">
        <f t="shared" si="2"/>
        <v>-24</v>
      </c>
      <c r="G17" s="2">
        <v>1</v>
      </c>
      <c r="H17" s="2">
        <f t="shared" si="6"/>
        <v>26</v>
      </c>
      <c r="I17" s="2">
        <v>8</v>
      </c>
      <c r="J17" s="2">
        <f t="shared" si="3"/>
        <v>-24</v>
      </c>
      <c r="K17" s="2">
        <v>1</v>
      </c>
      <c r="L17" s="2">
        <f t="shared" si="4"/>
        <v>-24</v>
      </c>
      <c r="M17" s="2">
        <v>1</v>
      </c>
      <c r="N17" s="18">
        <f t="shared" si="5"/>
        <v>26</v>
      </c>
      <c r="P17" s="1" t="s">
        <v>32</v>
      </c>
      <c r="Q17" s="2">
        <v>4</v>
      </c>
      <c r="T17" s="1" t="s">
        <v>0</v>
      </c>
      <c r="U17" s="2" t="s">
        <v>40</v>
      </c>
      <c r="V17" s="2" t="s">
        <v>40</v>
      </c>
      <c r="W17" s="3" t="s">
        <v>40</v>
      </c>
      <c r="X17" s="3" t="s">
        <v>40</v>
      </c>
      <c r="Y17" s="2" t="s">
        <v>40</v>
      </c>
      <c r="Z17" s="2" t="s">
        <v>40</v>
      </c>
    </row>
    <row r="18" spans="1:26" x14ac:dyDescent="0.35">
      <c r="A18" s="1" t="s">
        <v>2</v>
      </c>
      <c r="B18" s="2">
        <f t="shared" si="0"/>
        <v>37</v>
      </c>
      <c r="C18" s="2">
        <v>4</v>
      </c>
      <c r="D18" s="3">
        <f t="shared" si="1"/>
        <v>32</v>
      </c>
      <c r="E18" s="3">
        <v>6</v>
      </c>
      <c r="F18" s="2">
        <f t="shared" si="2"/>
        <v>30</v>
      </c>
      <c r="G18" s="2">
        <v>7</v>
      </c>
      <c r="H18" s="2">
        <f t="shared" si="6"/>
        <v>33</v>
      </c>
      <c r="I18" s="2">
        <v>6.5</v>
      </c>
      <c r="J18" s="2">
        <f t="shared" si="3"/>
        <v>37</v>
      </c>
      <c r="K18" s="2">
        <v>4</v>
      </c>
      <c r="L18" s="2">
        <f t="shared" si="4"/>
        <v>39</v>
      </c>
      <c r="M18" s="2">
        <v>5</v>
      </c>
      <c r="N18" s="18">
        <f t="shared" si="5"/>
        <v>32.5</v>
      </c>
      <c r="P18" s="1" t="s">
        <v>33</v>
      </c>
      <c r="Q18" s="2">
        <v>3</v>
      </c>
      <c r="T18" s="1" t="s">
        <v>2</v>
      </c>
      <c r="U18" s="2" t="s">
        <v>40</v>
      </c>
      <c r="V18" s="10">
        <v>6.3</v>
      </c>
      <c r="W18" s="21">
        <v>8</v>
      </c>
      <c r="X18" s="21">
        <v>4.2</v>
      </c>
      <c r="Y18" s="2" t="s">
        <v>40</v>
      </c>
      <c r="Z18" s="2" t="s">
        <v>40</v>
      </c>
    </row>
    <row r="19" spans="1:26" x14ac:dyDescent="0.35">
      <c r="A19" s="1" t="s">
        <v>3</v>
      </c>
      <c r="B19" s="2">
        <f t="shared" si="0"/>
        <v>29</v>
      </c>
      <c r="C19" s="2">
        <v>7</v>
      </c>
      <c r="D19" s="3">
        <f t="shared" si="1"/>
        <v>33</v>
      </c>
      <c r="E19" s="3">
        <v>4.5</v>
      </c>
      <c r="F19" s="2">
        <f t="shared" si="2"/>
        <v>32</v>
      </c>
      <c r="G19" s="2">
        <v>4</v>
      </c>
      <c r="H19" s="2">
        <f t="shared" si="6"/>
        <v>37</v>
      </c>
      <c r="I19" s="2">
        <v>2</v>
      </c>
      <c r="J19" s="2">
        <f t="shared" si="3"/>
        <v>31</v>
      </c>
      <c r="K19" s="2">
        <v>6</v>
      </c>
      <c r="L19" s="2">
        <f t="shared" si="4"/>
        <v>33</v>
      </c>
      <c r="M19" s="2">
        <v>8</v>
      </c>
      <c r="N19" s="18">
        <f t="shared" si="5"/>
        <v>31.5</v>
      </c>
      <c r="P19" s="1" t="s">
        <v>34</v>
      </c>
      <c r="Q19" s="2">
        <v>2</v>
      </c>
      <c r="T19" s="1" t="s">
        <v>3</v>
      </c>
      <c r="U19" s="2" t="s">
        <v>40</v>
      </c>
      <c r="V19" s="3">
        <v>8.3000000000000007</v>
      </c>
      <c r="W19" s="3">
        <v>12</v>
      </c>
      <c r="X19" s="3" t="s">
        <v>40</v>
      </c>
      <c r="Y19" s="2">
        <v>8.8000000000000007</v>
      </c>
      <c r="Z19" s="10">
        <v>10.9</v>
      </c>
    </row>
    <row r="20" spans="1:26" x14ac:dyDescent="0.35">
      <c r="A20" s="1" t="s">
        <v>4</v>
      </c>
      <c r="B20" s="2">
        <f t="shared" si="0"/>
        <v>36</v>
      </c>
      <c r="C20" s="2">
        <v>5</v>
      </c>
      <c r="D20" s="3">
        <f t="shared" si="1"/>
        <v>33</v>
      </c>
      <c r="E20" s="3">
        <v>4.5</v>
      </c>
      <c r="F20" s="2">
        <f t="shared" si="2"/>
        <v>31</v>
      </c>
      <c r="G20" s="2">
        <v>5.5</v>
      </c>
      <c r="H20" s="2">
        <f t="shared" si="6"/>
        <v>36</v>
      </c>
      <c r="I20" s="2">
        <v>3.5</v>
      </c>
      <c r="J20" s="2">
        <f t="shared" si="3"/>
        <v>29</v>
      </c>
      <c r="K20" s="2">
        <v>8</v>
      </c>
      <c r="L20" s="2">
        <f t="shared" si="4"/>
        <v>42</v>
      </c>
      <c r="M20" s="2">
        <v>4</v>
      </c>
      <c r="N20" s="18">
        <f t="shared" si="5"/>
        <v>30.5</v>
      </c>
      <c r="P20" s="1" t="s">
        <v>35</v>
      </c>
      <c r="Q20" s="2">
        <v>1</v>
      </c>
      <c r="T20" s="1" t="s">
        <v>4</v>
      </c>
      <c r="U20" s="2">
        <v>21.3</v>
      </c>
      <c r="V20" s="2">
        <v>8.6999999999999993</v>
      </c>
      <c r="W20" s="3" t="s">
        <v>40</v>
      </c>
      <c r="X20" s="3" t="s">
        <v>40</v>
      </c>
      <c r="Y20" s="10">
        <v>4.5999999999999996</v>
      </c>
      <c r="Z20" s="2" t="s">
        <v>40</v>
      </c>
    </row>
    <row r="21" spans="1:26" x14ac:dyDescent="0.35">
      <c r="A21" s="1" t="s">
        <v>8</v>
      </c>
      <c r="B21" s="2">
        <f t="shared" si="0"/>
        <v>-25</v>
      </c>
      <c r="C21" s="2">
        <v>1</v>
      </c>
      <c r="D21" s="3">
        <f t="shared" si="1"/>
        <v>48</v>
      </c>
      <c r="E21" s="3">
        <v>2</v>
      </c>
      <c r="F21" s="2">
        <f t="shared" si="2"/>
        <v>29</v>
      </c>
      <c r="G21" s="2">
        <v>8</v>
      </c>
      <c r="H21" s="2">
        <f t="shared" si="6"/>
        <v>35</v>
      </c>
      <c r="I21" s="2">
        <v>5</v>
      </c>
      <c r="J21" s="2">
        <f t="shared" si="3"/>
        <v>30</v>
      </c>
      <c r="K21" s="2">
        <v>7</v>
      </c>
      <c r="L21" s="2">
        <f t="shared" si="4"/>
        <v>34</v>
      </c>
      <c r="M21" s="2">
        <v>7</v>
      </c>
      <c r="N21" s="18">
        <f t="shared" si="5"/>
        <v>30</v>
      </c>
      <c r="T21" s="1" t="s">
        <v>8</v>
      </c>
      <c r="U21" s="2" t="s">
        <v>40</v>
      </c>
      <c r="V21" s="2" t="s">
        <v>40</v>
      </c>
      <c r="W21" s="3" t="s">
        <v>40</v>
      </c>
      <c r="X21" s="3" t="s">
        <v>40</v>
      </c>
      <c r="Y21" s="2" t="s">
        <v>40</v>
      </c>
      <c r="Z21" s="2" t="s">
        <v>40</v>
      </c>
    </row>
    <row r="23" spans="1:26" x14ac:dyDescent="0.35">
      <c r="A23" s="1" t="s">
        <v>60</v>
      </c>
      <c r="B23" s="1">
        <v>1</v>
      </c>
      <c r="C23" s="1">
        <v>2</v>
      </c>
      <c r="D23" s="9">
        <v>3</v>
      </c>
      <c r="E23" s="1">
        <v>4</v>
      </c>
      <c r="F23" s="1">
        <v>5</v>
      </c>
      <c r="G23" s="11">
        <v>6</v>
      </c>
      <c r="H23" s="1">
        <v>7</v>
      </c>
      <c r="I23" s="14">
        <v>8</v>
      </c>
      <c r="J23" s="1">
        <v>9</v>
      </c>
      <c r="K23" s="1" t="s">
        <v>9</v>
      </c>
      <c r="L23" s="1" t="s">
        <v>14</v>
      </c>
      <c r="M23" s="1" t="s">
        <v>20</v>
      </c>
      <c r="N23" s="1">
        <v>10</v>
      </c>
      <c r="O23" s="1">
        <v>11</v>
      </c>
      <c r="P23" s="11">
        <v>12</v>
      </c>
      <c r="Q23" s="1">
        <v>13</v>
      </c>
      <c r="R23" s="14">
        <v>14</v>
      </c>
      <c r="S23" s="9">
        <v>15</v>
      </c>
      <c r="T23" s="9">
        <v>16</v>
      </c>
      <c r="U23" s="14">
        <v>17</v>
      </c>
      <c r="V23" s="1">
        <v>18</v>
      </c>
      <c r="W23" s="1" t="s">
        <v>9</v>
      </c>
      <c r="X23" s="1" t="s">
        <v>14</v>
      </c>
      <c r="Y23" s="1" t="s">
        <v>20</v>
      </c>
    </row>
    <row r="24" spans="1:26" outlineLevel="1" x14ac:dyDescent="0.35">
      <c r="A24" s="1" t="s">
        <v>15</v>
      </c>
      <c r="B24" s="1">
        <v>4</v>
      </c>
      <c r="C24" s="1">
        <v>5</v>
      </c>
      <c r="D24" s="9">
        <v>3</v>
      </c>
      <c r="E24" s="1">
        <v>4</v>
      </c>
      <c r="F24" s="1">
        <v>5</v>
      </c>
      <c r="G24" s="11">
        <v>5</v>
      </c>
      <c r="H24" s="1">
        <v>3</v>
      </c>
      <c r="I24" s="14">
        <v>4</v>
      </c>
      <c r="J24" s="1">
        <v>4</v>
      </c>
      <c r="K24" s="1">
        <f>SUM(B24:J24)</f>
        <v>37</v>
      </c>
      <c r="L24" s="7"/>
      <c r="M24" s="7"/>
      <c r="N24" s="1">
        <v>5</v>
      </c>
      <c r="O24" s="1">
        <v>4</v>
      </c>
      <c r="P24" s="11">
        <v>4</v>
      </c>
      <c r="Q24" s="1">
        <v>4</v>
      </c>
      <c r="R24" s="14">
        <v>4</v>
      </c>
      <c r="S24" s="9">
        <v>3</v>
      </c>
      <c r="T24" s="9">
        <v>3</v>
      </c>
      <c r="U24" s="14">
        <v>4</v>
      </c>
      <c r="V24" s="1">
        <v>4</v>
      </c>
      <c r="W24" s="1">
        <f>SUM(N24:V24)</f>
        <v>35</v>
      </c>
      <c r="X24" s="8"/>
      <c r="Y24" s="7"/>
    </row>
    <row r="25" spans="1:26" outlineLevel="1" x14ac:dyDescent="0.35">
      <c r="A25" s="1" t="s">
        <v>1</v>
      </c>
      <c r="B25" s="5"/>
      <c r="C25" s="5"/>
      <c r="D25" s="5"/>
      <c r="E25" s="5"/>
      <c r="F25" s="5"/>
      <c r="G25" s="12"/>
      <c r="H25" s="5"/>
      <c r="I25" s="15"/>
      <c r="J25" s="5"/>
      <c r="K25" s="5"/>
      <c r="L25" s="5"/>
      <c r="M25" s="5"/>
      <c r="N25" s="5"/>
      <c r="O25" s="5"/>
      <c r="P25" s="12"/>
      <c r="Q25" s="5"/>
      <c r="R25" s="15"/>
      <c r="S25" s="5"/>
      <c r="T25" s="5"/>
      <c r="U25" s="15"/>
      <c r="V25" s="5"/>
      <c r="W25" s="5"/>
      <c r="X25" s="5"/>
      <c r="Y25" s="5"/>
    </row>
    <row r="26" spans="1:26" outlineLevel="1" x14ac:dyDescent="0.35">
      <c r="A26" s="1" t="s">
        <v>5</v>
      </c>
      <c r="B26" s="2">
        <v>6</v>
      </c>
      <c r="C26" s="2">
        <v>9</v>
      </c>
      <c r="D26" s="10">
        <v>6</v>
      </c>
      <c r="E26" s="2">
        <v>7</v>
      </c>
      <c r="F26" s="2">
        <v>7</v>
      </c>
      <c r="G26" s="13">
        <v>9</v>
      </c>
      <c r="H26" s="2">
        <v>5</v>
      </c>
      <c r="I26" s="16">
        <v>9</v>
      </c>
      <c r="J26" s="2">
        <v>6</v>
      </c>
      <c r="K26" s="1">
        <f t="shared" ref="K26:K33" si="7">SUM(B26:J26)</f>
        <v>64</v>
      </c>
      <c r="L26" s="1">
        <v>24</v>
      </c>
      <c r="M26" s="1">
        <f>K26-L26</f>
        <v>40</v>
      </c>
      <c r="N26" s="2">
        <v>9</v>
      </c>
      <c r="O26" s="2">
        <v>6</v>
      </c>
      <c r="P26" s="13">
        <v>5</v>
      </c>
      <c r="Q26" s="2">
        <v>7</v>
      </c>
      <c r="R26" s="16">
        <v>7</v>
      </c>
      <c r="S26" s="10">
        <v>6</v>
      </c>
      <c r="T26" s="10">
        <v>10</v>
      </c>
      <c r="U26" s="16">
        <v>7</v>
      </c>
      <c r="V26" s="2">
        <v>6</v>
      </c>
      <c r="W26" s="1">
        <f t="shared" ref="W26:W33" si="8">SUM(N26:V26)</f>
        <v>63</v>
      </c>
      <c r="X26" s="1">
        <v>24</v>
      </c>
      <c r="Y26" s="1">
        <f>W26-X26</f>
        <v>39</v>
      </c>
    </row>
    <row r="27" spans="1:26" x14ac:dyDescent="0.35">
      <c r="A27" s="1" t="s">
        <v>6</v>
      </c>
      <c r="B27" s="2">
        <v>5</v>
      </c>
      <c r="C27" s="2">
        <v>5</v>
      </c>
      <c r="D27" s="10">
        <v>4</v>
      </c>
      <c r="E27" s="2">
        <v>7</v>
      </c>
      <c r="F27" s="2">
        <v>7</v>
      </c>
      <c r="G27" s="13">
        <v>6</v>
      </c>
      <c r="H27" s="2">
        <v>4</v>
      </c>
      <c r="I27" s="16">
        <v>5</v>
      </c>
      <c r="J27" s="2">
        <v>6</v>
      </c>
      <c r="K27" s="1">
        <f t="shared" si="7"/>
        <v>49</v>
      </c>
      <c r="L27" s="1">
        <v>14</v>
      </c>
      <c r="M27" s="1">
        <f t="shared" ref="M27:M33" si="9">K27-L27</f>
        <v>35</v>
      </c>
      <c r="N27" s="2">
        <v>5</v>
      </c>
      <c r="O27" s="2">
        <v>6</v>
      </c>
      <c r="P27" s="13">
        <v>4</v>
      </c>
      <c r="Q27" s="2">
        <v>6</v>
      </c>
      <c r="R27" s="16">
        <v>4</v>
      </c>
      <c r="S27" s="10">
        <v>4</v>
      </c>
      <c r="T27" s="10">
        <v>3</v>
      </c>
      <c r="U27" s="16">
        <v>5</v>
      </c>
      <c r="V27" s="2">
        <v>4</v>
      </c>
      <c r="W27" s="1">
        <f t="shared" si="8"/>
        <v>41</v>
      </c>
      <c r="X27" s="1">
        <v>14</v>
      </c>
      <c r="Y27" s="1">
        <f t="shared" ref="Y27:Y33" si="10">W27-X27</f>
        <v>27</v>
      </c>
    </row>
    <row r="28" spans="1:26" x14ac:dyDescent="0.35">
      <c r="A28" s="1" t="s">
        <v>7</v>
      </c>
      <c r="B28" s="2">
        <v>5</v>
      </c>
      <c r="C28" s="2">
        <v>6</v>
      </c>
      <c r="D28" s="10">
        <v>4</v>
      </c>
      <c r="E28" s="2">
        <v>5</v>
      </c>
      <c r="F28" s="2">
        <v>5</v>
      </c>
      <c r="G28" s="13">
        <v>9</v>
      </c>
      <c r="H28" s="2">
        <v>3</v>
      </c>
      <c r="I28" s="16">
        <v>4</v>
      </c>
      <c r="J28" s="2">
        <v>5</v>
      </c>
      <c r="K28" s="1">
        <f t="shared" si="7"/>
        <v>46</v>
      </c>
      <c r="L28" s="1">
        <v>6</v>
      </c>
      <c r="M28" s="1">
        <f t="shared" si="9"/>
        <v>40</v>
      </c>
      <c r="N28" s="2"/>
      <c r="O28" s="2"/>
      <c r="P28" s="13"/>
      <c r="Q28" s="2"/>
      <c r="R28" s="16"/>
      <c r="S28" s="10"/>
      <c r="T28" s="10"/>
      <c r="U28" s="16"/>
      <c r="V28" s="2"/>
      <c r="W28" s="1">
        <f t="shared" si="8"/>
        <v>0</v>
      </c>
      <c r="X28" s="1">
        <v>6</v>
      </c>
      <c r="Y28" s="1">
        <f t="shared" si="10"/>
        <v>-6</v>
      </c>
    </row>
    <row r="29" spans="1:26" x14ac:dyDescent="0.35">
      <c r="A29" s="1" t="s">
        <v>0</v>
      </c>
      <c r="B29" s="2">
        <v>5</v>
      </c>
      <c r="C29" s="2">
        <v>7</v>
      </c>
      <c r="D29" s="10">
        <v>4</v>
      </c>
      <c r="E29" s="2">
        <v>5</v>
      </c>
      <c r="F29" s="2">
        <v>6</v>
      </c>
      <c r="G29" s="13">
        <v>6</v>
      </c>
      <c r="H29" s="2">
        <v>5</v>
      </c>
      <c r="I29" s="16">
        <v>6</v>
      </c>
      <c r="J29" s="2">
        <v>7</v>
      </c>
      <c r="K29" s="1">
        <f t="shared" si="7"/>
        <v>51</v>
      </c>
      <c r="L29" s="1">
        <v>24</v>
      </c>
      <c r="M29" s="1">
        <f t="shared" si="9"/>
        <v>27</v>
      </c>
      <c r="N29" s="2">
        <v>6</v>
      </c>
      <c r="O29" s="2">
        <v>7</v>
      </c>
      <c r="P29" s="13">
        <v>5</v>
      </c>
      <c r="Q29" s="2">
        <v>7</v>
      </c>
      <c r="R29" s="16">
        <v>6</v>
      </c>
      <c r="S29" s="10">
        <v>4</v>
      </c>
      <c r="T29" s="10">
        <v>4</v>
      </c>
      <c r="U29" s="16">
        <v>8</v>
      </c>
      <c r="V29" s="2">
        <v>6</v>
      </c>
      <c r="W29" s="1">
        <f t="shared" si="8"/>
        <v>53</v>
      </c>
      <c r="X29" s="1">
        <v>24</v>
      </c>
      <c r="Y29" s="1">
        <f t="shared" si="10"/>
        <v>29</v>
      </c>
    </row>
    <row r="30" spans="1:26" x14ac:dyDescent="0.35">
      <c r="A30" s="1" t="s">
        <v>2</v>
      </c>
      <c r="B30" s="2">
        <v>5</v>
      </c>
      <c r="C30" s="2">
        <v>8</v>
      </c>
      <c r="D30" s="10">
        <v>4</v>
      </c>
      <c r="E30" s="2">
        <v>4</v>
      </c>
      <c r="F30" s="2">
        <v>6</v>
      </c>
      <c r="G30" s="13">
        <v>6</v>
      </c>
      <c r="H30" s="2">
        <v>3</v>
      </c>
      <c r="I30" s="16">
        <v>5</v>
      </c>
      <c r="J30" s="2">
        <v>4</v>
      </c>
      <c r="K30" s="1">
        <f t="shared" si="7"/>
        <v>45</v>
      </c>
      <c r="L30" s="1">
        <v>8</v>
      </c>
      <c r="M30" s="1">
        <f t="shared" si="9"/>
        <v>37</v>
      </c>
      <c r="N30" s="2">
        <v>5</v>
      </c>
      <c r="O30" s="2">
        <v>6</v>
      </c>
      <c r="P30" s="13">
        <v>5</v>
      </c>
      <c r="Q30" s="2">
        <v>5</v>
      </c>
      <c r="R30" s="16">
        <v>4</v>
      </c>
      <c r="S30" s="10">
        <v>3</v>
      </c>
      <c r="T30" s="10">
        <v>4</v>
      </c>
      <c r="U30" s="16">
        <v>4</v>
      </c>
      <c r="V30" s="2">
        <v>4</v>
      </c>
      <c r="W30" s="1">
        <f t="shared" si="8"/>
        <v>40</v>
      </c>
      <c r="X30" s="1">
        <v>8</v>
      </c>
      <c r="Y30" s="1">
        <f t="shared" si="10"/>
        <v>32</v>
      </c>
    </row>
    <row r="31" spans="1:26" x14ac:dyDescent="0.35">
      <c r="A31" s="1" t="s">
        <v>3</v>
      </c>
      <c r="B31" s="2">
        <v>3</v>
      </c>
      <c r="C31" s="2">
        <v>6</v>
      </c>
      <c r="D31" s="10">
        <v>3</v>
      </c>
      <c r="E31" s="2">
        <v>4</v>
      </c>
      <c r="F31" s="2">
        <v>6</v>
      </c>
      <c r="G31" s="13">
        <v>7</v>
      </c>
      <c r="H31" s="2">
        <v>2</v>
      </c>
      <c r="I31" s="16">
        <v>3</v>
      </c>
      <c r="J31" s="2">
        <v>4</v>
      </c>
      <c r="K31" s="1">
        <f t="shared" si="7"/>
        <v>38</v>
      </c>
      <c r="L31" s="1">
        <v>9</v>
      </c>
      <c r="M31" s="1">
        <f t="shared" si="9"/>
        <v>29</v>
      </c>
      <c r="N31" s="2">
        <v>6</v>
      </c>
      <c r="O31" s="2">
        <v>7</v>
      </c>
      <c r="P31" s="13">
        <v>5</v>
      </c>
      <c r="Q31" s="2">
        <v>3</v>
      </c>
      <c r="R31" s="16">
        <v>3</v>
      </c>
      <c r="S31" s="10">
        <v>3</v>
      </c>
      <c r="T31" s="10">
        <v>6</v>
      </c>
      <c r="U31" s="16">
        <v>5</v>
      </c>
      <c r="V31" s="2">
        <v>4</v>
      </c>
      <c r="W31" s="1">
        <f t="shared" si="8"/>
        <v>42</v>
      </c>
      <c r="X31" s="1">
        <v>9</v>
      </c>
      <c r="Y31" s="1">
        <f t="shared" si="10"/>
        <v>33</v>
      </c>
    </row>
    <row r="32" spans="1:26" x14ac:dyDescent="0.35">
      <c r="A32" s="1" t="s">
        <v>4</v>
      </c>
      <c r="B32" s="2">
        <v>7</v>
      </c>
      <c r="C32" s="2">
        <v>7</v>
      </c>
      <c r="D32" s="10">
        <v>3</v>
      </c>
      <c r="E32" s="2">
        <v>6</v>
      </c>
      <c r="F32" s="2">
        <v>6</v>
      </c>
      <c r="G32" s="13">
        <v>6</v>
      </c>
      <c r="H32" s="2">
        <v>3</v>
      </c>
      <c r="I32" s="16">
        <v>5</v>
      </c>
      <c r="J32" s="2">
        <v>4</v>
      </c>
      <c r="K32" s="1">
        <f t="shared" si="7"/>
        <v>47</v>
      </c>
      <c r="L32" s="1">
        <v>11</v>
      </c>
      <c r="M32" s="1">
        <f t="shared" si="9"/>
        <v>36</v>
      </c>
      <c r="N32" s="2">
        <v>6</v>
      </c>
      <c r="O32" s="2">
        <v>5</v>
      </c>
      <c r="P32" s="13">
        <v>4</v>
      </c>
      <c r="Q32" s="2">
        <v>5</v>
      </c>
      <c r="R32" s="16">
        <v>6</v>
      </c>
      <c r="S32" s="10">
        <v>4</v>
      </c>
      <c r="T32" s="10">
        <v>4</v>
      </c>
      <c r="U32" s="16">
        <v>5</v>
      </c>
      <c r="V32" s="2">
        <v>5</v>
      </c>
      <c r="W32" s="1">
        <f t="shared" si="8"/>
        <v>44</v>
      </c>
      <c r="X32" s="1">
        <v>11</v>
      </c>
      <c r="Y32" s="1">
        <f t="shared" si="10"/>
        <v>33</v>
      </c>
    </row>
    <row r="33" spans="1:25" x14ac:dyDescent="0.35">
      <c r="A33" s="1" t="s">
        <v>8</v>
      </c>
      <c r="B33" s="2"/>
      <c r="C33" s="2"/>
      <c r="D33" s="10"/>
      <c r="E33" s="2"/>
      <c r="F33" s="2"/>
      <c r="G33" s="13"/>
      <c r="H33" s="2"/>
      <c r="I33" s="16"/>
      <c r="J33" s="2"/>
      <c r="K33" s="1">
        <f t="shared" si="7"/>
        <v>0</v>
      </c>
      <c r="L33" s="1">
        <v>25</v>
      </c>
      <c r="M33" s="1">
        <f t="shared" si="9"/>
        <v>-25</v>
      </c>
      <c r="N33" s="2">
        <v>12</v>
      </c>
      <c r="O33" s="2">
        <v>8</v>
      </c>
      <c r="P33" s="13">
        <v>5</v>
      </c>
      <c r="Q33" s="2">
        <v>6</v>
      </c>
      <c r="R33" s="16">
        <v>7</v>
      </c>
      <c r="S33" s="10">
        <v>5</v>
      </c>
      <c r="T33" s="10">
        <v>15</v>
      </c>
      <c r="U33" s="16">
        <v>8</v>
      </c>
      <c r="V33" s="2">
        <v>7</v>
      </c>
      <c r="W33" s="1">
        <f t="shared" si="8"/>
        <v>73</v>
      </c>
      <c r="X33" s="1">
        <v>25</v>
      </c>
      <c r="Y33" s="1">
        <f t="shared" si="10"/>
        <v>48</v>
      </c>
    </row>
    <row r="34" spans="1:25" x14ac:dyDescent="0.35">
      <c r="D34" s="9" t="s">
        <v>63</v>
      </c>
      <c r="H34" s="1" t="s">
        <v>62</v>
      </c>
      <c r="Q34" s="22"/>
      <c r="R34" s="6"/>
      <c r="S34" s="9" t="s">
        <v>64</v>
      </c>
      <c r="T34" s="9" t="s">
        <v>61</v>
      </c>
    </row>
    <row r="36" spans="1:25" x14ac:dyDescent="0.35">
      <c r="A36" s="1" t="s">
        <v>65</v>
      </c>
      <c r="B36" s="1">
        <v>1</v>
      </c>
      <c r="C36" s="1">
        <v>2</v>
      </c>
      <c r="D36" s="1">
        <v>3</v>
      </c>
      <c r="E36" s="11">
        <v>4</v>
      </c>
      <c r="F36" s="11">
        <v>5</v>
      </c>
      <c r="G36" s="11">
        <v>6</v>
      </c>
      <c r="H36" s="1">
        <v>7</v>
      </c>
      <c r="I36" s="14">
        <v>8</v>
      </c>
      <c r="J36" s="9">
        <v>9</v>
      </c>
      <c r="K36" s="1" t="s">
        <v>9</v>
      </c>
      <c r="L36" s="1" t="s">
        <v>14</v>
      </c>
      <c r="M36" s="1" t="s">
        <v>20</v>
      </c>
      <c r="N36" s="1">
        <v>10</v>
      </c>
      <c r="O36" s="1">
        <v>11</v>
      </c>
      <c r="P36" s="11">
        <v>12</v>
      </c>
      <c r="Q36" s="1">
        <v>13</v>
      </c>
      <c r="R36" s="14">
        <v>14</v>
      </c>
      <c r="S36" s="11">
        <v>15</v>
      </c>
      <c r="T36" s="11">
        <v>16</v>
      </c>
      <c r="U36" s="9">
        <v>17</v>
      </c>
      <c r="V36" s="1">
        <v>18</v>
      </c>
      <c r="W36" s="1" t="s">
        <v>9</v>
      </c>
      <c r="X36" s="1" t="s">
        <v>14</v>
      </c>
      <c r="Y36" s="1" t="s">
        <v>20</v>
      </c>
    </row>
    <row r="37" spans="1:25" x14ac:dyDescent="0.35">
      <c r="A37" s="1" t="s">
        <v>15</v>
      </c>
      <c r="B37" s="1">
        <v>4</v>
      </c>
      <c r="C37" s="1">
        <v>4</v>
      </c>
      <c r="D37" s="1">
        <v>4</v>
      </c>
      <c r="E37" s="11">
        <v>5</v>
      </c>
      <c r="F37" s="11">
        <v>3</v>
      </c>
      <c r="G37" s="11">
        <v>4</v>
      </c>
      <c r="H37" s="1">
        <v>4</v>
      </c>
      <c r="I37" s="14">
        <v>5</v>
      </c>
      <c r="J37" s="9">
        <v>3</v>
      </c>
      <c r="K37" s="1">
        <f>SUM(B37:J37)</f>
        <v>36</v>
      </c>
      <c r="L37" s="7"/>
      <c r="M37" s="7"/>
      <c r="N37" s="1">
        <v>4</v>
      </c>
      <c r="O37" s="1">
        <v>4</v>
      </c>
      <c r="P37" s="11">
        <v>3</v>
      </c>
      <c r="Q37" s="1">
        <v>5</v>
      </c>
      <c r="R37" s="14">
        <v>4</v>
      </c>
      <c r="S37" s="11">
        <v>5</v>
      </c>
      <c r="T37" s="11">
        <v>4</v>
      </c>
      <c r="U37" s="9">
        <v>3</v>
      </c>
      <c r="V37" s="1">
        <v>4</v>
      </c>
      <c r="W37" s="1">
        <f>SUM(N37:V37)</f>
        <v>36</v>
      </c>
      <c r="X37" s="8"/>
      <c r="Y37" s="7"/>
    </row>
    <row r="38" spans="1:25" x14ac:dyDescent="0.35">
      <c r="A38" s="1" t="s">
        <v>1</v>
      </c>
      <c r="B38" s="5"/>
      <c r="C38" s="5"/>
      <c r="D38" s="5"/>
      <c r="E38" s="12"/>
      <c r="F38" s="12"/>
      <c r="G38" s="12"/>
      <c r="H38" s="5"/>
      <c r="I38" s="15"/>
      <c r="J38" s="5"/>
      <c r="K38" s="5"/>
      <c r="L38" s="5"/>
      <c r="M38" s="5"/>
      <c r="N38" s="5"/>
      <c r="O38" s="5"/>
      <c r="P38" s="12"/>
      <c r="Q38" s="5"/>
      <c r="R38" s="15"/>
      <c r="S38" s="12"/>
      <c r="T38" s="12"/>
      <c r="U38" s="5"/>
      <c r="V38" s="5"/>
      <c r="W38" s="5"/>
      <c r="X38" s="5"/>
      <c r="Y38" s="5"/>
    </row>
    <row r="39" spans="1:25" x14ac:dyDescent="0.35">
      <c r="A39" s="1" t="s">
        <v>5</v>
      </c>
      <c r="B39" s="2">
        <v>5</v>
      </c>
      <c r="C39" s="2">
        <v>5</v>
      </c>
      <c r="D39" s="2">
        <v>8</v>
      </c>
      <c r="E39" s="13">
        <v>8</v>
      </c>
      <c r="F39" s="13">
        <v>4</v>
      </c>
      <c r="G39" s="13">
        <v>5</v>
      </c>
      <c r="H39" s="2">
        <v>4</v>
      </c>
      <c r="I39" s="16">
        <v>10</v>
      </c>
      <c r="J39" s="10">
        <v>6</v>
      </c>
      <c r="K39" s="1">
        <f t="shared" ref="K39:K46" si="11">SUM(B39:J39)</f>
        <v>55</v>
      </c>
      <c r="L39" s="1">
        <v>24</v>
      </c>
      <c r="M39" s="1">
        <f>K39-L39</f>
        <v>31</v>
      </c>
      <c r="N39" s="2">
        <v>5</v>
      </c>
      <c r="O39" s="2">
        <v>5</v>
      </c>
      <c r="P39" s="13">
        <v>4</v>
      </c>
      <c r="Q39" s="2">
        <v>14</v>
      </c>
      <c r="R39" s="16">
        <v>6</v>
      </c>
      <c r="S39" s="13">
        <v>8</v>
      </c>
      <c r="T39" s="13">
        <v>5</v>
      </c>
      <c r="U39" s="10">
        <v>4</v>
      </c>
      <c r="V39" s="2">
        <v>9</v>
      </c>
      <c r="W39" s="1">
        <f t="shared" ref="W39:W46" si="12">SUM(N39:V39)</f>
        <v>60</v>
      </c>
      <c r="X39" s="1">
        <v>24</v>
      </c>
      <c r="Y39" s="1">
        <f>W39-X39</f>
        <v>36</v>
      </c>
    </row>
    <row r="40" spans="1:25" x14ac:dyDescent="0.35">
      <c r="A40" s="1" t="s">
        <v>6</v>
      </c>
      <c r="B40" s="2">
        <v>5</v>
      </c>
      <c r="C40" s="2">
        <v>7</v>
      </c>
      <c r="D40" s="2">
        <v>7</v>
      </c>
      <c r="E40" s="13">
        <v>8</v>
      </c>
      <c r="F40" s="13">
        <v>3</v>
      </c>
      <c r="G40" s="13">
        <v>5</v>
      </c>
      <c r="H40" s="2">
        <v>6</v>
      </c>
      <c r="I40" s="16">
        <v>6</v>
      </c>
      <c r="J40" s="10">
        <v>4</v>
      </c>
      <c r="K40" s="1">
        <f t="shared" si="11"/>
        <v>51</v>
      </c>
      <c r="L40" s="1">
        <v>14</v>
      </c>
      <c r="M40" s="1">
        <f t="shared" ref="M40:M46" si="13">K40-L40</f>
        <v>37</v>
      </c>
      <c r="N40" s="2">
        <v>5</v>
      </c>
      <c r="O40" s="2">
        <v>4</v>
      </c>
      <c r="P40" s="13">
        <v>5</v>
      </c>
      <c r="Q40" s="2">
        <v>8</v>
      </c>
      <c r="R40" s="16">
        <v>5</v>
      </c>
      <c r="S40" s="13">
        <v>6</v>
      </c>
      <c r="T40" s="13">
        <v>6</v>
      </c>
      <c r="U40" s="10">
        <v>3</v>
      </c>
      <c r="V40" s="2">
        <v>5</v>
      </c>
      <c r="W40" s="1">
        <f t="shared" si="12"/>
        <v>47</v>
      </c>
      <c r="X40" s="1">
        <v>14</v>
      </c>
      <c r="Y40" s="1">
        <f t="shared" ref="Y40:Y46" si="14">W40-X40</f>
        <v>33</v>
      </c>
    </row>
    <row r="41" spans="1:25" x14ac:dyDescent="0.35">
      <c r="A41" s="1" t="s">
        <v>7</v>
      </c>
      <c r="B41" s="2"/>
      <c r="C41" s="2"/>
      <c r="D41" s="2"/>
      <c r="E41" s="13"/>
      <c r="F41" s="13"/>
      <c r="G41" s="13"/>
      <c r="H41" s="2"/>
      <c r="I41" s="16"/>
      <c r="J41" s="10"/>
      <c r="K41" s="1">
        <f t="shared" si="11"/>
        <v>0</v>
      </c>
      <c r="L41" s="1">
        <v>6</v>
      </c>
      <c r="M41" s="1">
        <f t="shared" si="13"/>
        <v>-6</v>
      </c>
      <c r="N41" s="2">
        <v>5</v>
      </c>
      <c r="O41" s="2">
        <v>4</v>
      </c>
      <c r="P41" s="13">
        <v>3</v>
      </c>
      <c r="Q41" s="2">
        <v>8</v>
      </c>
      <c r="R41" s="16">
        <v>3</v>
      </c>
      <c r="S41" s="13">
        <v>6</v>
      </c>
      <c r="T41" s="13">
        <v>4</v>
      </c>
      <c r="U41" s="10">
        <v>6</v>
      </c>
      <c r="V41" s="2">
        <v>8</v>
      </c>
      <c r="W41" s="1">
        <f t="shared" si="12"/>
        <v>47</v>
      </c>
      <c r="X41" s="1">
        <v>6</v>
      </c>
      <c r="Y41" s="1">
        <f t="shared" si="14"/>
        <v>41</v>
      </c>
    </row>
    <row r="42" spans="1:25" x14ac:dyDescent="0.35">
      <c r="A42" s="1" t="s">
        <v>0</v>
      </c>
      <c r="B42" s="2"/>
      <c r="C42" s="2"/>
      <c r="D42" s="2"/>
      <c r="E42" s="13"/>
      <c r="F42" s="13"/>
      <c r="G42" s="13"/>
      <c r="H42" s="2"/>
      <c r="I42" s="16"/>
      <c r="J42" s="10"/>
      <c r="K42" s="1">
        <f t="shared" si="11"/>
        <v>0</v>
      </c>
      <c r="L42" s="1">
        <v>24</v>
      </c>
      <c r="M42" s="1">
        <f t="shared" si="13"/>
        <v>-24</v>
      </c>
      <c r="N42" s="2">
        <v>5</v>
      </c>
      <c r="O42" s="2">
        <v>8</v>
      </c>
      <c r="P42" s="13">
        <v>4</v>
      </c>
      <c r="Q42" s="2">
        <v>7</v>
      </c>
      <c r="R42" s="16">
        <v>7</v>
      </c>
      <c r="S42" s="13">
        <v>5</v>
      </c>
      <c r="T42" s="13">
        <v>5</v>
      </c>
      <c r="U42" s="10">
        <v>4</v>
      </c>
      <c r="V42" s="2">
        <v>5</v>
      </c>
      <c r="W42" s="1">
        <f t="shared" si="12"/>
        <v>50</v>
      </c>
      <c r="X42" s="1">
        <v>24</v>
      </c>
      <c r="Y42" s="1">
        <f t="shared" si="14"/>
        <v>26</v>
      </c>
    </row>
    <row r="43" spans="1:25" x14ac:dyDescent="0.35">
      <c r="A43" s="1" t="s">
        <v>2</v>
      </c>
      <c r="B43" s="2">
        <v>5</v>
      </c>
      <c r="C43" s="2">
        <v>5</v>
      </c>
      <c r="D43" s="2">
        <v>4</v>
      </c>
      <c r="E43" s="13">
        <v>4</v>
      </c>
      <c r="F43" s="13">
        <v>2</v>
      </c>
      <c r="G43" s="13">
        <v>4</v>
      </c>
      <c r="H43" s="2">
        <v>5</v>
      </c>
      <c r="I43" s="16">
        <v>7</v>
      </c>
      <c r="J43" s="10">
        <v>2</v>
      </c>
      <c r="K43" s="1">
        <f t="shared" si="11"/>
        <v>38</v>
      </c>
      <c r="L43" s="1">
        <v>8</v>
      </c>
      <c r="M43" s="1">
        <f t="shared" si="13"/>
        <v>30</v>
      </c>
      <c r="N43" s="2">
        <v>4</v>
      </c>
      <c r="O43" s="2">
        <v>5</v>
      </c>
      <c r="P43" s="13">
        <v>3</v>
      </c>
      <c r="Q43" s="2">
        <v>6</v>
      </c>
      <c r="R43" s="16">
        <v>4</v>
      </c>
      <c r="S43" s="13">
        <v>6</v>
      </c>
      <c r="T43" s="13">
        <v>6</v>
      </c>
      <c r="U43" s="10">
        <v>3</v>
      </c>
      <c r="V43" s="2">
        <v>4</v>
      </c>
      <c r="W43" s="1">
        <f t="shared" si="12"/>
        <v>41</v>
      </c>
      <c r="X43" s="1">
        <v>8</v>
      </c>
      <c r="Y43" s="1">
        <f t="shared" si="14"/>
        <v>33</v>
      </c>
    </row>
    <row r="44" spans="1:25" x14ac:dyDescent="0.35">
      <c r="A44" s="1" t="s">
        <v>3</v>
      </c>
      <c r="B44" s="2">
        <v>4</v>
      </c>
      <c r="C44" s="2">
        <v>5</v>
      </c>
      <c r="D44" s="2">
        <v>5</v>
      </c>
      <c r="E44" s="13">
        <v>3</v>
      </c>
      <c r="F44" s="13">
        <v>4</v>
      </c>
      <c r="G44" s="13">
        <v>5</v>
      </c>
      <c r="H44" s="2">
        <v>5</v>
      </c>
      <c r="I44" s="16">
        <v>6</v>
      </c>
      <c r="J44" s="10">
        <v>4</v>
      </c>
      <c r="K44" s="1">
        <f t="shared" si="11"/>
        <v>41</v>
      </c>
      <c r="L44" s="1">
        <v>9</v>
      </c>
      <c r="M44" s="1">
        <f t="shared" si="13"/>
        <v>32</v>
      </c>
      <c r="N44" s="2">
        <v>5</v>
      </c>
      <c r="O44" s="2">
        <v>10</v>
      </c>
      <c r="P44" s="13">
        <v>3</v>
      </c>
      <c r="Q44" s="2">
        <v>5</v>
      </c>
      <c r="R44" s="16">
        <v>5</v>
      </c>
      <c r="S44" s="13">
        <v>5</v>
      </c>
      <c r="T44" s="13">
        <v>5</v>
      </c>
      <c r="U44" s="10">
        <v>3</v>
      </c>
      <c r="V44" s="2">
        <v>5</v>
      </c>
      <c r="W44" s="1">
        <f t="shared" si="12"/>
        <v>46</v>
      </c>
      <c r="X44" s="1">
        <v>9</v>
      </c>
      <c r="Y44" s="1">
        <f t="shared" si="14"/>
        <v>37</v>
      </c>
    </row>
    <row r="45" spans="1:25" x14ac:dyDescent="0.35">
      <c r="A45" s="1" t="s">
        <v>4</v>
      </c>
      <c r="B45" s="2">
        <v>4</v>
      </c>
      <c r="C45" s="2">
        <v>5</v>
      </c>
      <c r="D45" s="2">
        <v>4</v>
      </c>
      <c r="E45" s="13">
        <v>5</v>
      </c>
      <c r="F45" s="13">
        <v>5</v>
      </c>
      <c r="G45" s="13">
        <v>6</v>
      </c>
      <c r="H45" s="2">
        <v>5</v>
      </c>
      <c r="I45" s="16">
        <v>4</v>
      </c>
      <c r="J45" s="10">
        <v>4</v>
      </c>
      <c r="K45" s="1">
        <f t="shared" si="11"/>
        <v>42</v>
      </c>
      <c r="L45" s="1">
        <v>11</v>
      </c>
      <c r="M45" s="1">
        <f t="shared" si="13"/>
        <v>31</v>
      </c>
      <c r="N45" s="2">
        <v>5</v>
      </c>
      <c r="O45" s="2">
        <v>5</v>
      </c>
      <c r="P45" s="13">
        <v>4</v>
      </c>
      <c r="Q45" s="2">
        <v>7</v>
      </c>
      <c r="R45" s="16">
        <v>5</v>
      </c>
      <c r="S45" s="13">
        <v>6</v>
      </c>
      <c r="T45" s="13">
        <v>5</v>
      </c>
      <c r="U45" s="10">
        <v>4</v>
      </c>
      <c r="V45" s="2">
        <v>6</v>
      </c>
      <c r="W45" s="1">
        <f t="shared" si="12"/>
        <v>47</v>
      </c>
      <c r="X45" s="1">
        <v>11</v>
      </c>
      <c r="Y45" s="1">
        <f t="shared" si="14"/>
        <v>36</v>
      </c>
    </row>
    <row r="46" spans="1:25" x14ac:dyDescent="0.35">
      <c r="A46" s="1" t="s">
        <v>8</v>
      </c>
      <c r="B46" s="2">
        <v>6</v>
      </c>
      <c r="C46" s="2">
        <v>5</v>
      </c>
      <c r="D46" s="2">
        <v>7</v>
      </c>
      <c r="E46" s="13">
        <v>7</v>
      </c>
      <c r="F46" s="13">
        <v>4</v>
      </c>
      <c r="G46" s="13">
        <v>7</v>
      </c>
      <c r="H46" s="2">
        <v>5</v>
      </c>
      <c r="I46" s="16">
        <v>9</v>
      </c>
      <c r="J46" s="10">
        <v>4</v>
      </c>
      <c r="K46" s="1">
        <f t="shared" si="11"/>
        <v>54</v>
      </c>
      <c r="L46" s="1">
        <v>25</v>
      </c>
      <c r="M46" s="1">
        <f t="shared" si="13"/>
        <v>29</v>
      </c>
      <c r="N46" s="2">
        <v>7</v>
      </c>
      <c r="O46" s="2">
        <v>5</v>
      </c>
      <c r="P46" s="13">
        <v>4</v>
      </c>
      <c r="Q46" s="2">
        <v>12</v>
      </c>
      <c r="R46" s="16">
        <v>8</v>
      </c>
      <c r="S46" s="13">
        <v>6</v>
      </c>
      <c r="T46" s="13">
        <v>7</v>
      </c>
      <c r="U46" s="10">
        <v>5</v>
      </c>
      <c r="V46" s="2">
        <v>6</v>
      </c>
      <c r="W46" s="1">
        <f t="shared" si="12"/>
        <v>60</v>
      </c>
      <c r="X46" s="1">
        <v>25</v>
      </c>
      <c r="Y46" s="1">
        <f t="shared" si="14"/>
        <v>35</v>
      </c>
    </row>
    <row r="47" spans="1:25" x14ac:dyDescent="0.35">
      <c r="F47" s="1" t="s">
        <v>66</v>
      </c>
      <c r="J47" s="9" t="s">
        <v>67</v>
      </c>
      <c r="P47" s="1" t="s">
        <v>68</v>
      </c>
      <c r="U47" s="9" t="s">
        <v>69</v>
      </c>
    </row>
    <row r="49" spans="1:25" x14ac:dyDescent="0.35">
      <c r="A49" s="1" t="s">
        <v>70</v>
      </c>
      <c r="B49" s="1">
        <v>1</v>
      </c>
      <c r="C49" s="1">
        <v>2</v>
      </c>
      <c r="D49" s="1">
        <v>3</v>
      </c>
      <c r="E49" s="1">
        <v>4</v>
      </c>
      <c r="F49" s="28">
        <v>5</v>
      </c>
      <c r="G49" s="9">
        <v>6</v>
      </c>
      <c r="H49" s="1">
        <v>7</v>
      </c>
      <c r="I49" s="14">
        <v>8</v>
      </c>
      <c r="J49" s="1">
        <v>9</v>
      </c>
      <c r="K49" s="1" t="s">
        <v>9</v>
      </c>
      <c r="L49" s="1" t="s">
        <v>14</v>
      </c>
      <c r="M49" s="1" t="s">
        <v>20</v>
      </c>
      <c r="N49" s="9">
        <v>10</v>
      </c>
      <c r="O49" s="1">
        <v>11</v>
      </c>
      <c r="P49" s="28">
        <v>12</v>
      </c>
      <c r="Q49" s="1">
        <v>13</v>
      </c>
      <c r="R49" s="14">
        <v>14</v>
      </c>
      <c r="S49" s="11">
        <v>15</v>
      </c>
      <c r="T49" s="1">
        <v>16</v>
      </c>
      <c r="U49" s="14">
        <v>17</v>
      </c>
      <c r="V49" s="1">
        <v>18</v>
      </c>
      <c r="W49" s="1" t="s">
        <v>9</v>
      </c>
      <c r="X49" s="1" t="s">
        <v>14</v>
      </c>
      <c r="Y49" s="1" t="s">
        <v>20</v>
      </c>
    </row>
    <row r="50" spans="1:25" x14ac:dyDescent="0.35">
      <c r="A50" s="1" t="s">
        <v>15</v>
      </c>
      <c r="B50" s="1">
        <v>4</v>
      </c>
      <c r="C50" s="1">
        <v>3</v>
      </c>
      <c r="D50" s="1">
        <v>5</v>
      </c>
      <c r="E50" s="1">
        <v>4</v>
      </c>
      <c r="F50" s="28">
        <v>4</v>
      </c>
      <c r="G50" s="9">
        <v>3</v>
      </c>
      <c r="H50" s="1">
        <v>4</v>
      </c>
      <c r="I50" s="14">
        <v>5</v>
      </c>
      <c r="J50" s="1">
        <v>4</v>
      </c>
      <c r="K50" s="1">
        <f>SUM(B50:J50)</f>
        <v>36</v>
      </c>
      <c r="L50" s="7"/>
      <c r="M50" s="7"/>
      <c r="N50" s="9">
        <v>3</v>
      </c>
      <c r="O50" s="1">
        <v>5</v>
      </c>
      <c r="P50" s="28">
        <v>3</v>
      </c>
      <c r="Q50" s="1">
        <v>5</v>
      </c>
      <c r="R50" s="14">
        <v>4</v>
      </c>
      <c r="S50" s="11">
        <v>4</v>
      </c>
      <c r="T50" s="1">
        <v>4</v>
      </c>
      <c r="U50" s="14">
        <v>3</v>
      </c>
      <c r="V50" s="1">
        <v>4</v>
      </c>
      <c r="W50" s="1">
        <f>SUM(N50:V50)</f>
        <v>35</v>
      </c>
      <c r="X50" s="8"/>
      <c r="Y50" s="7"/>
    </row>
    <row r="51" spans="1:25" x14ac:dyDescent="0.35">
      <c r="A51" s="1" t="s">
        <v>1</v>
      </c>
      <c r="B51" s="5"/>
      <c r="C51" s="5"/>
      <c r="D51" s="5"/>
      <c r="E51" s="5"/>
      <c r="F51" s="5"/>
      <c r="G51" s="5"/>
      <c r="H51" s="5"/>
      <c r="I51" s="15"/>
      <c r="J51" s="5"/>
      <c r="K51" s="5"/>
      <c r="L51" s="5"/>
      <c r="M51" s="5"/>
      <c r="N51" s="5"/>
      <c r="O51" s="5"/>
      <c r="P51" s="5"/>
      <c r="Q51" s="5"/>
      <c r="R51" s="15"/>
      <c r="S51" s="12"/>
      <c r="T51" s="5"/>
      <c r="U51" s="15"/>
      <c r="V51" s="5"/>
      <c r="W51" s="5"/>
      <c r="X51" s="5"/>
      <c r="Y51" s="5"/>
    </row>
    <row r="52" spans="1:25" x14ac:dyDescent="0.35">
      <c r="A52" s="1" t="s">
        <v>5</v>
      </c>
      <c r="B52" s="2">
        <v>5</v>
      </c>
      <c r="C52" s="2">
        <v>6</v>
      </c>
      <c r="D52" s="2">
        <v>7</v>
      </c>
      <c r="E52" s="2">
        <v>6</v>
      </c>
      <c r="F52" s="29">
        <v>8</v>
      </c>
      <c r="G52" s="10">
        <v>6</v>
      </c>
      <c r="H52" s="2">
        <v>5</v>
      </c>
      <c r="I52" s="16">
        <v>9</v>
      </c>
      <c r="J52" s="2">
        <v>6</v>
      </c>
      <c r="K52" s="1">
        <f t="shared" ref="K52:K59" si="15">SUM(B52:J52)</f>
        <v>58</v>
      </c>
      <c r="L52" s="1">
        <v>24</v>
      </c>
      <c r="M52" s="1">
        <f>K52-L52</f>
        <v>34</v>
      </c>
      <c r="N52" s="10">
        <v>11</v>
      </c>
      <c r="O52" s="2">
        <v>11</v>
      </c>
      <c r="P52" s="29">
        <v>4</v>
      </c>
      <c r="Q52" s="2">
        <v>8</v>
      </c>
      <c r="R52" s="16">
        <v>5</v>
      </c>
      <c r="S52" s="13">
        <v>6</v>
      </c>
      <c r="T52" s="2">
        <v>5</v>
      </c>
      <c r="U52" s="16">
        <v>4</v>
      </c>
      <c r="V52" s="2">
        <v>7</v>
      </c>
      <c r="W52" s="1">
        <f t="shared" ref="W52:W59" si="16">SUM(N52:V52)</f>
        <v>61</v>
      </c>
      <c r="X52" s="1">
        <v>24</v>
      </c>
      <c r="Y52" s="1">
        <f>W52-X52</f>
        <v>37</v>
      </c>
    </row>
    <row r="53" spans="1:25" x14ac:dyDescent="0.35">
      <c r="A53" s="1" t="s">
        <v>6</v>
      </c>
      <c r="B53" s="2"/>
      <c r="C53" s="2"/>
      <c r="D53" s="2"/>
      <c r="E53" s="2"/>
      <c r="F53" s="29"/>
      <c r="G53" s="10"/>
      <c r="H53" s="2"/>
      <c r="I53" s="16"/>
      <c r="J53" s="2"/>
      <c r="K53" s="1">
        <f t="shared" si="15"/>
        <v>0</v>
      </c>
      <c r="L53" s="1">
        <v>14</v>
      </c>
      <c r="M53" s="1">
        <f t="shared" ref="M53:M59" si="17">K53-L53</f>
        <v>-14</v>
      </c>
      <c r="N53" s="10"/>
      <c r="O53" s="2"/>
      <c r="P53" s="29"/>
      <c r="Q53" s="2"/>
      <c r="R53" s="16"/>
      <c r="S53" s="13"/>
      <c r="T53" s="2"/>
      <c r="U53" s="16"/>
      <c r="V53" s="2"/>
      <c r="W53" s="1">
        <f t="shared" si="16"/>
        <v>0</v>
      </c>
      <c r="X53" s="1">
        <v>14</v>
      </c>
      <c r="Y53" s="1">
        <f t="shared" ref="Y53:Y59" si="18">W53-X53</f>
        <v>-14</v>
      </c>
    </row>
    <row r="54" spans="1:25" x14ac:dyDescent="0.35">
      <c r="A54" s="1" t="s">
        <v>7</v>
      </c>
      <c r="B54" s="2">
        <v>9</v>
      </c>
      <c r="C54" s="2">
        <v>3</v>
      </c>
      <c r="D54" s="2">
        <v>8</v>
      </c>
      <c r="E54" s="2">
        <v>5</v>
      </c>
      <c r="F54" s="29">
        <v>4</v>
      </c>
      <c r="G54" s="10">
        <v>3</v>
      </c>
      <c r="H54" s="2">
        <v>4</v>
      </c>
      <c r="I54" s="16">
        <v>5</v>
      </c>
      <c r="J54" s="2">
        <v>4</v>
      </c>
      <c r="K54" s="1">
        <f t="shared" si="15"/>
        <v>45</v>
      </c>
      <c r="L54" s="1">
        <v>6</v>
      </c>
      <c r="M54" s="1">
        <f t="shared" si="17"/>
        <v>39</v>
      </c>
      <c r="N54" s="10"/>
      <c r="O54" s="2"/>
      <c r="P54" s="29"/>
      <c r="Q54" s="2"/>
      <c r="R54" s="16"/>
      <c r="S54" s="13"/>
      <c r="T54" s="2"/>
      <c r="U54" s="16"/>
      <c r="V54" s="2"/>
      <c r="W54" s="1">
        <f t="shared" si="16"/>
        <v>0</v>
      </c>
      <c r="X54" s="1">
        <v>6</v>
      </c>
      <c r="Y54" s="1">
        <f t="shared" si="18"/>
        <v>-6</v>
      </c>
    </row>
    <row r="55" spans="1:25" x14ac:dyDescent="0.35">
      <c r="A55" s="1" t="s">
        <v>0</v>
      </c>
      <c r="B55" s="2"/>
      <c r="C55" s="2"/>
      <c r="D55" s="2"/>
      <c r="E55" s="2"/>
      <c r="F55" s="29"/>
      <c r="G55" s="10"/>
      <c r="H55" s="2"/>
      <c r="I55" s="16"/>
      <c r="J55" s="2"/>
      <c r="K55" s="1">
        <f t="shared" si="15"/>
        <v>0</v>
      </c>
      <c r="L55" s="1">
        <v>24</v>
      </c>
      <c r="M55" s="1">
        <f t="shared" si="17"/>
        <v>-24</v>
      </c>
      <c r="N55" s="10"/>
      <c r="O55" s="2"/>
      <c r="P55" s="29"/>
      <c r="Q55" s="2"/>
      <c r="R55" s="16"/>
      <c r="S55" s="13"/>
      <c r="T55" s="2"/>
      <c r="U55" s="16"/>
      <c r="V55" s="2"/>
      <c r="W55" s="1">
        <f t="shared" si="16"/>
        <v>0</v>
      </c>
      <c r="X55" s="1">
        <v>24</v>
      </c>
      <c r="Y55" s="1">
        <f t="shared" si="18"/>
        <v>-24</v>
      </c>
    </row>
    <row r="56" spans="1:25" x14ac:dyDescent="0.35">
      <c r="A56" s="1" t="s">
        <v>2</v>
      </c>
      <c r="B56" s="2">
        <v>6</v>
      </c>
      <c r="C56" s="2">
        <v>5</v>
      </c>
      <c r="D56" s="2">
        <v>5</v>
      </c>
      <c r="E56" s="2">
        <v>5</v>
      </c>
      <c r="F56" s="29">
        <v>5</v>
      </c>
      <c r="G56" s="10">
        <v>4</v>
      </c>
      <c r="H56" s="2">
        <v>5</v>
      </c>
      <c r="I56" s="16">
        <v>5</v>
      </c>
      <c r="J56" s="2">
        <v>5</v>
      </c>
      <c r="K56" s="1">
        <f t="shared" si="15"/>
        <v>45</v>
      </c>
      <c r="L56" s="1">
        <v>8</v>
      </c>
      <c r="M56" s="1">
        <f t="shared" si="17"/>
        <v>37</v>
      </c>
      <c r="N56" s="10">
        <v>8</v>
      </c>
      <c r="O56" s="2">
        <v>5</v>
      </c>
      <c r="P56" s="29">
        <v>4</v>
      </c>
      <c r="Q56" s="2">
        <v>6</v>
      </c>
      <c r="R56" s="16">
        <v>7</v>
      </c>
      <c r="S56" s="13">
        <v>5</v>
      </c>
      <c r="T56" s="2">
        <v>4</v>
      </c>
      <c r="U56" s="16">
        <v>3</v>
      </c>
      <c r="V56" s="2">
        <v>5</v>
      </c>
      <c r="W56" s="1">
        <f t="shared" si="16"/>
        <v>47</v>
      </c>
      <c r="X56" s="1">
        <v>8</v>
      </c>
      <c r="Y56" s="1">
        <f t="shared" si="18"/>
        <v>39</v>
      </c>
    </row>
    <row r="57" spans="1:25" x14ac:dyDescent="0.35">
      <c r="A57" s="1" t="s">
        <v>3</v>
      </c>
      <c r="B57" s="2">
        <v>5</v>
      </c>
      <c r="C57" s="2">
        <v>4</v>
      </c>
      <c r="D57" s="2">
        <v>5</v>
      </c>
      <c r="E57" s="2">
        <v>5</v>
      </c>
      <c r="F57" s="29">
        <v>7</v>
      </c>
      <c r="G57" s="10">
        <v>2</v>
      </c>
      <c r="H57" s="2">
        <v>4</v>
      </c>
      <c r="I57" s="16">
        <v>4</v>
      </c>
      <c r="J57" s="2">
        <v>4</v>
      </c>
      <c r="K57" s="1">
        <f t="shared" si="15"/>
        <v>40</v>
      </c>
      <c r="L57" s="1">
        <v>9</v>
      </c>
      <c r="M57" s="1">
        <f t="shared" si="17"/>
        <v>31</v>
      </c>
      <c r="N57" s="10">
        <v>3</v>
      </c>
      <c r="O57" s="2">
        <v>5</v>
      </c>
      <c r="P57" s="29">
        <v>3</v>
      </c>
      <c r="Q57" s="2">
        <v>6</v>
      </c>
      <c r="R57" s="16">
        <v>7</v>
      </c>
      <c r="S57" s="13">
        <v>5</v>
      </c>
      <c r="T57" s="2">
        <v>5</v>
      </c>
      <c r="U57" s="16">
        <v>4</v>
      </c>
      <c r="V57" s="2">
        <v>4</v>
      </c>
      <c r="W57" s="1">
        <f t="shared" si="16"/>
        <v>42</v>
      </c>
      <c r="X57" s="1">
        <v>9</v>
      </c>
      <c r="Y57" s="1">
        <f t="shared" si="18"/>
        <v>33</v>
      </c>
    </row>
    <row r="58" spans="1:25" x14ac:dyDescent="0.35">
      <c r="A58" s="1" t="s">
        <v>4</v>
      </c>
      <c r="B58" s="2">
        <v>4</v>
      </c>
      <c r="C58" s="2">
        <v>4</v>
      </c>
      <c r="D58" s="2">
        <v>6</v>
      </c>
      <c r="E58" s="2">
        <v>4</v>
      </c>
      <c r="F58" s="29">
        <v>5</v>
      </c>
      <c r="G58" s="10">
        <v>3</v>
      </c>
      <c r="H58" s="2">
        <v>4</v>
      </c>
      <c r="I58" s="16">
        <v>6</v>
      </c>
      <c r="J58" s="2">
        <v>4</v>
      </c>
      <c r="K58" s="1">
        <f t="shared" si="15"/>
        <v>40</v>
      </c>
      <c r="L58" s="1">
        <v>11</v>
      </c>
      <c r="M58" s="1">
        <f t="shared" si="17"/>
        <v>29</v>
      </c>
      <c r="N58" s="10">
        <v>5</v>
      </c>
      <c r="O58" s="2">
        <v>6</v>
      </c>
      <c r="P58" s="29">
        <v>6</v>
      </c>
      <c r="Q58" s="2">
        <v>7</v>
      </c>
      <c r="R58" s="16">
        <v>4</v>
      </c>
      <c r="S58" s="13">
        <v>5</v>
      </c>
      <c r="T58" s="2">
        <v>6</v>
      </c>
      <c r="U58" s="16">
        <v>6</v>
      </c>
      <c r="V58" s="2">
        <v>8</v>
      </c>
      <c r="W58" s="1">
        <f t="shared" si="16"/>
        <v>53</v>
      </c>
      <c r="X58" s="1">
        <v>11</v>
      </c>
      <c r="Y58" s="1">
        <f t="shared" si="18"/>
        <v>42</v>
      </c>
    </row>
    <row r="59" spans="1:25" x14ac:dyDescent="0.35">
      <c r="A59" s="1" t="s">
        <v>8</v>
      </c>
      <c r="B59" s="2">
        <v>6</v>
      </c>
      <c r="C59" s="2">
        <v>6</v>
      </c>
      <c r="D59" s="2">
        <v>8</v>
      </c>
      <c r="E59" s="2">
        <v>8</v>
      </c>
      <c r="F59" s="29">
        <v>7</v>
      </c>
      <c r="G59" s="10">
        <v>5</v>
      </c>
      <c r="H59" s="2">
        <v>5</v>
      </c>
      <c r="I59" s="16">
        <v>6</v>
      </c>
      <c r="J59" s="2">
        <v>4</v>
      </c>
      <c r="K59" s="1">
        <f t="shared" si="15"/>
        <v>55</v>
      </c>
      <c r="L59" s="1">
        <v>25</v>
      </c>
      <c r="M59" s="1">
        <f t="shared" si="17"/>
        <v>30</v>
      </c>
      <c r="N59" s="10">
        <v>4</v>
      </c>
      <c r="O59" s="2">
        <v>8</v>
      </c>
      <c r="P59" s="29">
        <v>3</v>
      </c>
      <c r="Q59" s="2">
        <v>11</v>
      </c>
      <c r="R59" s="16">
        <v>9</v>
      </c>
      <c r="S59" s="13">
        <v>6</v>
      </c>
      <c r="T59" s="2">
        <v>4</v>
      </c>
      <c r="U59" s="16">
        <v>5</v>
      </c>
      <c r="V59" s="2">
        <v>9</v>
      </c>
      <c r="W59" s="1">
        <f t="shared" si="16"/>
        <v>59</v>
      </c>
      <c r="X59" s="1">
        <v>25</v>
      </c>
      <c r="Y59" s="1">
        <f t="shared" si="18"/>
        <v>34</v>
      </c>
    </row>
    <row r="60" spans="1:25" x14ac:dyDescent="0.35">
      <c r="C60" s="1" t="s">
        <v>71</v>
      </c>
      <c r="E60" s="22"/>
      <c r="F60" s="30"/>
      <c r="G60" s="9" t="s">
        <v>75</v>
      </c>
      <c r="N60" s="9" t="s">
        <v>72</v>
      </c>
      <c r="P60" s="28" t="s">
        <v>73</v>
      </c>
      <c r="T60" s="22"/>
      <c r="U60" s="1" t="s">
        <v>74</v>
      </c>
    </row>
  </sheetData>
  <mergeCells count="3">
    <mergeCell ref="A12:N12"/>
    <mergeCell ref="P12:Q12"/>
    <mergeCell ref="T12:Z12"/>
  </mergeCells>
  <pageMargins left="0.7" right="0.7" top="0.75" bottom="0.75" header="0.3" footer="0.3"/>
  <pageSetup orientation="portrait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howOutlineSymbols="0"/>
  </sheetPr>
  <dimension ref="A1:Z60"/>
  <sheetViews>
    <sheetView showOutlineSymbols="0" zoomScale="72" zoomScaleNormal="60" workbookViewId="0">
      <selection activeCell="N50" sqref="N50:V60"/>
    </sheetView>
  </sheetViews>
  <sheetFormatPr defaultRowHeight="14.5" outlineLevelRow="1" outlineLevelCol="2" x14ac:dyDescent="0.35"/>
  <cols>
    <col min="1" max="1" width="11.08984375" bestFit="1" customWidth="1"/>
    <col min="2" max="2" width="11.81640625" bestFit="1" customWidth="1" outlineLevel="2"/>
    <col min="3" max="10" width="9.1796875" outlineLevel="2"/>
    <col min="11" max="12" width="9.1796875" outlineLevel="1"/>
    <col min="14" max="22" width="9.1796875" outlineLevel="2"/>
    <col min="23" max="24" width="9.1796875" outlineLevel="1"/>
  </cols>
  <sheetData>
    <row r="1" spans="1:26" x14ac:dyDescent="0.35">
      <c r="A1" s="19" t="s">
        <v>1</v>
      </c>
      <c r="B1" t="s">
        <v>43</v>
      </c>
    </row>
    <row r="2" spans="1:26" x14ac:dyDescent="0.35">
      <c r="A2" s="20" t="s">
        <v>8</v>
      </c>
      <c r="B2">
        <v>41.5</v>
      </c>
      <c r="F2" s="31" t="s">
        <v>76</v>
      </c>
    </row>
    <row r="3" spans="1:26" x14ac:dyDescent="0.35">
      <c r="A3" s="20" t="s">
        <v>4</v>
      </c>
      <c r="B3">
        <v>31.5</v>
      </c>
    </row>
    <row r="4" spans="1:26" x14ac:dyDescent="0.35">
      <c r="A4" s="20" t="s">
        <v>3</v>
      </c>
      <c r="B4">
        <v>31.5</v>
      </c>
    </row>
    <row r="5" spans="1:26" x14ac:dyDescent="0.35">
      <c r="A5" s="20" t="s">
        <v>0</v>
      </c>
      <c r="B5">
        <v>25</v>
      </c>
    </row>
    <row r="6" spans="1:26" x14ac:dyDescent="0.35">
      <c r="A6" s="20" t="s">
        <v>5</v>
      </c>
      <c r="B6">
        <v>24.5</v>
      </c>
    </row>
    <row r="7" spans="1:26" x14ac:dyDescent="0.35">
      <c r="A7" s="20" t="s">
        <v>7</v>
      </c>
      <c r="B7">
        <v>22.5</v>
      </c>
    </row>
    <row r="8" spans="1:26" x14ac:dyDescent="0.35">
      <c r="A8" s="20" t="s">
        <v>6</v>
      </c>
      <c r="B8">
        <v>21.5</v>
      </c>
    </row>
    <row r="9" spans="1:26" x14ac:dyDescent="0.35">
      <c r="A9" s="20" t="s">
        <v>2</v>
      </c>
      <c r="B9">
        <v>18</v>
      </c>
    </row>
    <row r="10" spans="1:26" x14ac:dyDescent="0.35">
      <c r="A10" s="20" t="s">
        <v>42</v>
      </c>
      <c r="B10">
        <v>216</v>
      </c>
    </row>
    <row r="12" spans="1:26" x14ac:dyDescent="0.35">
      <c r="A12" s="44" t="s">
        <v>84</v>
      </c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P12" s="45" t="s">
        <v>27</v>
      </c>
      <c r="Q12" s="46"/>
      <c r="R12" s="17" t="s">
        <v>36</v>
      </c>
      <c r="T12" s="44" t="s">
        <v>37</v>
      </c>
      <c r="U12" s="44"/>
      <c r="V12" s="44"/>
      <c r="W12" s="44"/>
      <c r="X12" s="44"/>
      <c r="Y12" s="44"/>
      <c r="Z12" s="44"/>
    </row>
    <row r="13" spans="1:26" x14ac:dyDescent="0.35">
      <c r="A13" s="1" t="s">
        <v>1</v>
      </c>
      <c r="B13" s="1" t="s">
        <v>12</v>
      </c>
      <c r="C13" s="1" t="s">
        <v>27</v>
      </c>
      <c r="D13" s="1" t="s">
        <v>13</v>
      </c>
      <c r="E13" s="1" t="s">
        <v>27</v>
      </c>
      <c r="F13" s="1" t="s">
        <v>23</v>
      </c>
      <c r="G13" s="1" t="s">
        <v>27</v>
      </c>
      <c r="H13" s="1" t="s">
        <v>24</v>
      </c>
      <c r="I13" s="1" t="s">
        <v>27</v>
      </c>
      <c r="J13" s="1" t="s">
        <v>25</v>
      </c>
      <c r="K13" s="1" t="s">
        <v>27</v>
      </c>
      <c r="L13" s="1" t="s">
        <v>26</v>
      </c>
      <c r="M13" s="1" t="s">
        <v>27</v>
      </c>
      <c r="N13" s="1" t="s">
        <v>9</v>
      </c>
      <c r="P13" s="1" t="s">
        <v>28</v>
      </c>
      <c r="Q13" s="2">
        <v>8</v>
      </c>
      <c r="T13" s="1" t="s">
        <v>1</v>
      </c>
      <c r="U13" s="1" t="s">
        <v>12</v>
      </c>
      <c r="V13" s="1" t="s">
        <v>13</v>
      </c>
      <c r="W13" s="1" t="s">
        <v>23</v>
      </c>
      <c r="X13" s="1" t="s">
        <v>24</v>
      </c>
      <c r="Y13" s="1" t="s">
        <v>25</v>
      </c>
      <c r="Z13" s="1" t="s">
        <v>26</v>
      </c>
    </row>
    <row r="14" spans="1:26" x14ac:dyDescent="0.35">
      <c r="A14" s="1" t="s">
        <v>5</v>
      </c>
      <c r="B14" s="33">
        <f>M26</f>
        <v>49.708333333333336</v>
      </c>
      <c r="C14" s="2">
        <v>2</v>
      </c>
      <c r="D14" s="33">
        <f>Y26</f>
        <v>38.708333333333336</v>
      </c>
      <c r="E14" s="2">
        <v>3</v>
      </c>
      <c r="F14" s="33">
        <f>M39</f>
        <v>34.708333333333336</v>
      </c>
      <c r="G14" s="2">
        <v>6</v>
      </c>
      <c r="H14" s="33">
        <f>Y39</f>
        <v>47.708333333333336</v>
      </c>
      <c r="I14" s="2">
        <v>3</v>
      </c>
      <c r="J14" s="33">
        <v>29.708333333333336</v>
      </c>
      <c r="K14" s="33">
        <v>6</v>
      </c>
      <c r="L14" s="33">
        <f>Y52</f>
        <v>34.708333333333336</v>
      </c>
      <c r="M14" s="2">
        <v>4.5</v>
      </c>
      <c r="N14" s="18">
        <f>C14+E14+G14+I14+K14+M14</f>
        <v>24.5</v>
      </c>
      <c r="P14" s="1" t="s">
        <v>29</v>
      </c>
      <c r="Q14" s="2">
        <v>7</v>
      </c>
      <c r="T14" s="1" t="s">
        <v>5</v>
      </c>
      <c r="U14" s="2"/>
      <c r="V14" s="2"/>
      <c r="W14" s="3" t="s">
        <v>40</v>
      </c>
      <c r="X14" s="3"/>
      <c r="Y14" s="2" t="s">
        <v>40</v>
      </c>
      <c r="Z14" s="2" t="s">
        <v>40</v>
      </c>
    </row>
    <row r="15" spans="1:26" x14ac:dyDescent="0.35">
      <c r="A15" s="1" t="s">
        <v>6</v>
      </c>
      <c r="B15" s="33">
        <f>M27</f>
        <v>43.325000000000003</v>
      </c>
      <c r="C15" s="2">
        <v>4</v>
      </c>
      <c r="D15" s="33">
        <f t="shared" ref="D15:D21" si="0">Y27</f>
        <v>31.325000000000003</v>
      </c>
      <c r="E15" s="2">
        <v>7</v>
      </c>
      <c r="F15" s="33">
        <f t="shared" ref="F15:F21" si="1">M40</f>
        <v>46.325000000000003</v>
      </c>
      <c r="G15" s="2">
        <v>1</v>
      </c>
      <c r="H15" s="33">
        <f>Y40</f>
        <v>50.325000000000003</v>
      </c>
      <c r="I15" s="2">
        <v>1.5</v>
      </c>
      <c r="J15" s="33">
        <v>31.325000000000003</v>
      </c>
      <c r="K15" s="33">
        <v>5</v>
      </c>
      <c r="L15" s="33">
        <f t="shared" ref="L15:L21" si="2">Y53</f>
        <v>36.325000000000003</v>
      </c>
      <c r="M15" s="2">
        <v>3</v>
      </c>
      <c r="N15" s="18">
        <f t="shared" ref="N15:N21" si="3">C15+E15+G15+I15+K15+M15</f>
        <v>21.5</v>
      </c>
      <c r="P15" s="1" t="s">
        <v>30</v>
      </c>
      <c r="Q15" s="2">
        <v>6</v>
      </c>
      <c r="T15" s="1" t="s">
        <v>6</v>
      </c>
      <c r="U15" s="2"/>
      <c r="V15" s="2"/>
      <c r="W15" s="3" t="s">
        <v>40</v>
      </c>
      <c r="X15" s="3"/>
      <c r="Y15" s="2">
        <v>11.5</v>
      </c>
      <c r="Z15" s="2">
        <v>15.6</v>
      </c>
    </row>
    <row r="16" spans="1:26" x14ac:dyDescent="0.35">
      <c r="A16" s="1" t="s">
        <v>7</v>
      </c>
      <c r="B16" s="33">
        <f>M28</f>
        <v>36.534090909090907</v>
      </c>
      <c r="C16" s="2">
        <v>6</v>
      </c>
      <c r="D16" s="33">
        <f t="shared" si="0"/>
        <v>35.534090909090907</v>
      </c>
      <c r="E16" s="2">
        <v>4.5</v>
      </c>
      <c r="F16" s="33">
        <f t="shared" si="1"/>
        <v>35.534090909090907</v>
      </c>
      <c r="G16" s="2">
        <v>5</v>
      </c>
      <c r="H16" s="33">
        <f t="shared" ref="H16:H21" si="4">Y41</f>
        <v>40.534090909090907</v>
      </c>
      <c r="I16" s="2">
        <v>5</v>
      </c>
      <c r="J16" s="33">
        <v>-7.4659090909090935</v>
      </c>
      <c r="K16" s="33">
        <v>1</v>
      </c>
      <c r="L16" s="33">
        <f t="shared" si="2"/>
        <v>-7.4659090909090935</v>
      </c>
      <c r="M16" s="2">
        <v>1</v>
      </c>
      <c r="N16" s="18">
        <f t="shared" si="3"/>
        <v>22.5</v>
      </c>
      <c r="P16" s="1" t="s">
        <v>31</v>
      </c>
      <c r="Q16" s="2">
        <v>5</v>
      </c>
      <c r="T16" s="1" t="s">
        <v>7</v>
      </c>
      <c r="U16" s="10"/>
      <c r="V16" s="2"/>
      <c r="W16" s="3" t="s">
        <v>40</v>
      </c>
      <c r="X16" s="21"/>
      <c r="Y16" s="2"/>
      <c r="Z16" s="2" t="s">
        <v>40</v>
      </c>
    </row>
    <row r="17" spans="1:26" x14ac:dyDescent="0.35">
      <c r="A17" s="1" t="s">
        <v>0</v>
      </c>
      <c r="B17" s="33">
        <f>M29</f>
        <v>36.44318181818182</v>
      </c>
      <c r="C17" s="2">
        <v>7</v>
      </c>
      <c r="D17" s="33">
        <f t="shared" si="0"/>
        <v>53.44318181818182</v>
      </c>
      <c r="E17" s="2">
        <v>2</v>
      </c>
      <c r="F17" s="33">
        <f t="shared" si="1"/>
        <v>31.44318181818182</v>
      </c>
      <c r="G17" s="2">
        <v>7</v>
      </c>
      <c r="H17" s="33">
        <f t="shared" si="4"/>
        <v>50.44318181818182</v>
      </c>
      <c r="I17" s="2">
        <v>1.5</v>
      </c>
      <c r="J17" s="33">
        <v>34.44318181818182</v>
      </c>
      <c r="K17" s="33">
        <v>3</v>
      </c>
      <c r="L17" s="33">
        <f t="shared" si="2"/>
        <v>35.44318181818182</v>
      </c>
      <c r="M17" s="2">
        <v>4.5</v>
      </c>
      <c r="N17" s="18">
        <f t="shared" si="3"/>
        <v>25</v>
      </c>
      <c r="P17" s="1" t="s">
        <v>32</v>
      </c>
      <c r="Q17" s="2">
        <v>4</v>
      </c>
      <c r="T17" s="1" t="s">
        <v>0</v>
      </c>
      <c r="U17" s="2"/>
      <c r="V17" s="2"/>
      <c r="W17" s="3" t="s">
        <v>40</v>
      </c>
      <c r="X17" s="3"/>
      <c r="Y17" s="2">
        <v>17.7</v>
      </c>
      <c r="Z17" s="2" t="s">
        <v>40</v>
      </c>
    </row>
    <row r="18" spans="1:26" x14ac:dyDescent="0.35">
      <c r="A18" s="1" t="s">
        <v>2</v>
      </c>
      <c r="B18" s="33">
        <f t="shared" ref="B18:B21" si="5">M30</f>
        <v>-7.375</v>
      </c>
      <c r="C18" s="2">
        <v>1</v>
      </c>
      <c r="D18" s="33">
        <f t="shared" si="0"/>
        <v>-7.375</v>
      </c>
      <c r="E18" s="2">
        <v>1</v>
      </c>
      <c r="F18" s="33">
        <f t="shared" si="1"/>
        <v>36.625</v>
      </c>
      <c r="G18" s="2">
        <v>4</v>
      </c>
      <c r="H18" s="33">
        <f t="shared" si="4"/>
        <v>38.625</v>
      </c>
      <c r="I18" s="2">
        <v>6</v>
      </c>
      <c r="J18" s="33">
        <v>31.625</v>
      </c>
      <c r="K18" s="33">
        <v>4</v>
      </c>
      <c r="L18" s="33">
        <f t="shared" si="2"/>
        <v>37.625</v>
      </c>
      <c r="M18" s="2">
        <v>2</v>
      </c>
      <c r="N18" s="18">
        <f t="shared" si="3"/>
        <v>18</v>
      </c>
      <c r="P18" s="1" t="s">
        <v>33</v>
      </c>
      <c r="Q18" s="2">
        <v>3</v>
      </c>
      <c r="T18" s="1" t="s">
        <v>2</v>
      </c>
      <c r="U18" s="2"/>
      <c r="V18" s="2"/>
      <c r="W18" s="21">
        <v>11.9</v>
      </c>
      <c r="X18" s="3"/>
      <c r="Y18" s="2">
        <v>6.1</v>
      </c>
      <c r="Z18" s="10">
        <v>12.9</v>
      </c>
    </row>
    <row r="19" spans="1:26" x14ac:dyDescent="0.35">
      <c r="A19" s="1" t="s">
        <v>3</v>
      </c>
      <c r="B19" s="33">
        <f t="shared" si="5"/>
        <v>35.240384615384613</v>
      </c>
      <c r="C19" s="2">
        <v>8</v>
      </c>
      <c r="D19" s="33">
        <f t="shared" si="0"/>
        <v>36.240384615384613</v>
      </c>
      <c r="E19" s="2">
        <v>4.5</v>
      </c>
      <c r="F19" s="33">
        <f t="shared" si="1"/>
        <v>40.240384615384613</v>
      </c>
      <c r="G19" s="2">
        <v>2</v>
      </c>
      <c r="H19" s="33">
        <f t="shared" si="4"/>
        <v>37.240384615384613</v>
      </c>
      <c r="I19" s="2">
        <v>8</v>
      </c>
      <c r="J19" s="33">
        <v>36.240384615384613</v>
      </c>
      <c r="K19" s="33">
        <v>2</v>
      </c>
      <c r="L19" s="33">
        <f t="shared" si="2"/>
        <v>31.240384615384613</v>
      </c>
      <c r="M19" s="2">
        <v>7</v>
      </c>
      <c r="N19" s="18">
        <f t="shared" si="3"/>
        <v>31.5</v>
      </c>
      <c r="P19" s="1" t="s">
        <v>34</v>
      </c>
      <c r="Q19" s="2">
        <v>2</v>
      </c>
      <c r="T19" s="1" t="s">
        <v>3</v>
      </c>
      <c r="U19" s="2"/>
      <c r="V19" s="21"/>
      <c r="W19" s="3" t="s">
        <v>40</v>
      </c>
      <c r="X19" s="3"/>
      <c r="Y19" s="2" t="s">
        <v>40</v>
      </c>
      <c r="Z19" s="2" t="s">
        <v>40</v>
      </c>
    </row>
    <row r="20" spans="1:26" x14ac:dyDescent="0.35">
      <c r="A20" s="1" t="s">
        <v>4</v>
      </c>
      <c r="B20" s="33">
        <f t="shared" si="5"/>
        <v>38.767857142857146</v>
      </c>
      <c r="C20" s="2">
        <v>5</v>
      </c>
      <c r="D20" s="33">
        <f t="shared" si="0"/>
        <v>34.767857142857146</v>
      </c>
      <c r="E20" s="2">
        <v>6</v>
      </c>
      <c r="F20" s="33">
        <f t="shared" si="1"/>
        <v>38.767857142857146</v>
      </c>
      <c r="G20" s="2">
        <v>3</v>
      </c>
      <c r="H20" s="33">
        <f t="shared" si="4"/>
        <v>41.767857142857146</v>
      </c>
      <c r="I20" s="2">
        <v>4</v>
      </c>
      <c r="J20" s="33">
        <v>26.767857142857146</v>
      </c>
      <c r="K20" s="3">
        <v>7.5</v>
      </c>
      <c r="L20" s="33">
        <f t="shared" si="2"/>
        <v>31.767857142857146</v>
      </c>
      <c r="M20" s="2">
        <v>6</v>
      </c>
      <c r="N20" s="18">
        <f t="shared" si="3"/>
        <v>31.5</v>
      </c>
      <c r="P20" s="1" t="s">
        <v>35</v>
      </c>
      <c r="Q20" s="2">
        <v>1</v>
      </c>
      <c r="T20" s="1" t="s">
        <v>4</v>
      </c>
      <c r="U20" s="2"/>
      <c r="V20" s="2"/>
      <c r="W20" s="3">
        <v>13.2</v>
      </c>
      <c r="X20" s="3"/>
      <c r="Y20" s="10" t="s">
        <v>102</v>
      </c>
      <c r="Z20" s="2" t="s">
        <v>40</v>
      </c>
    </row>
    <row r="21" spans="1:26" x14ac:dyDescent="0.35">
      <c r="A21" s="1" t="s">
        <v>8</v>
      </c>
      <c r="B21" s="33">
        <f t="shared" si="5"/>
        <v>47.041666666666664</v>
      </c>
      <c r="C21" s="2">
        <v>3</v>
      </c>
      <c r="D21" s="33">
        <f t="shared" si="0"/>
        <v>27.041666666666664</v>
      </c>
      <c r="E21" s="2">
        <v>8</v>
      </c>
      <c r="F21" s="33">
        <f t="shared" si="1"/>
        <v>30.041666666666664</v>
      </c>
      <c r="G21" s="2">
        <v>8</v>
      </c>
      <c r="H21" s="33">
        <f t="shared" si="4"/>
        <v>38.041666666666664</v>
      </c>
      <c r="I21" s="2">
        <v>7</v>
      </c>
      <c r="J21" s="33">
        <v>27.041666666666664</v>
      </c>
      <c r="K21" s="3">
        <v>7.5</v>
      </c>
      <c r="L21" s="33">
        <f t="shared" si="2"/>
        <v>28.041666666666664</v>
      </c>
      <c r="M21" s="2">
        <v>8</v>
      </c>
      <c r="N21" s="18">
        <f t="shared" si="3"/>
        <v>41.5</v>
      </c>
      <c r="T21" s="1" t="s">
        <v>8</v>
      </c>
      <c r="U21" s="2"/>
      <c r="V21" s="2"/>
      <c r="W21" s="3" t="s">
        <v>40</v>
      </c>
      <c r="X21" s="3"/>
      <c r="Y21" s="2" t="s">
        <v>40</v>
      </c>
      <c r="Z21" s="2" t="s">
        <v>40</v>
      </c>
    </row>
    <row r="23" spans="1:26" x14ac:dyDescent="0.35">
      <c r="A23" s="1" t="s">
        <v>85</v>
      </c>
      <c r="B23" s="1">
        <v>1</v>
      </c>
      <c r="C23" s="1">
        <v>2</v>
      </c>
      <c r="D23" s="9">
        <v>3</v>
      </c>
      <c r="E23" s="1">
        <v>4</v>
      </c>
      <c r="F23" s="1">
        <v>5</v>
      </c>
      <c r="G23" s="11">
        <v>6</v>
      </c>
      <c r="H23" s="1">
        <v>7</v>
      </c>
      <c r="I23" s="14">
        <v>8</v>
      </c>
      <c r="J23" s="1">
        <v>9</v>
      </c>
      <c r="K23" s="1" t="s">
        <v>9</v>
      </c>
      <c r="L23" s="1" t="s">
        <v>14</v>
      </c>
      <c r="M23" s="1" t="s">
        <v>20</v>
      </c>
      <c r="N23" s="1">
        <v>10</v>
      </c>
      <c r="O23" s="1">
        <v>11</v>
      </c>
      <c r="P23" s="11">
        <v>12</v>
      </c>
      <c r="Q23" s="1">
        <v>13</v>
      </c>
      <c r="R23" s="1">
        <v>14</v>
      </c>
      <c r="S23" s="11">
        <v>15</v>
      </c>
      <c r="T23" s="11">
        <v>16</v>
      </c>
      <c r="U23" s="9">
        <v>17</v>
      </c>
      <c r="V23" s="1">
        <v>18</v>
      </c>
      <c r="W23" s="1" t="s">
        <v>9</v>
      </c>
      <c r="X23" s="1" t="s">
        <v>14</v>
      </c>
      <c r="Y23" s="1" t="s">
        <v>20</v>
      </c>
    </row>
    <row r="24" spans="1:26" outlineLevel="1" x14ac:dyDescent="0.35">
      <c r="A24" s="1" t="s">
        <v>15</v>
      </c>
      <c r="B24" s="1">
        <v>4</v>
      </c>
      <c r="C24" s="1">
        <v>5</v>
      </c>
      <c r="D24" s="9">
        <v>3</v>
      </c>
      <c r="E24" s="1">
        <v>4</v>
      </c>
      <c r="F24" s="1">
        <v>4</v>
      </c>
      <c r="G24" s="11">
        <v>5</v>
      </c>
      <c r="H24" s="1">
        <v>3</v>
      </c>
      <c r="I24" s="14">
        <v>4</v>
      </c>
      <c r="J24" s="1">
        <v>4</v>
      </c>
      <c r="K24" s="1">
        <f>SUM(B24:J24)</f>
        <v>36</v>
      </c>
      <c r="L24" s="7"/>
      <c r="M24" s="7"/>
      <c r="N24" s="1">
        <v>4</v>
      </c>
      <c r="O24" s="1">
        <v>4</v>
      </c>
      <c r="P24" s="11">
        <v>5</v>
      </c>
      <c r="Q24" s="1">
        <v>4</v>
      </c>
      <c r="R24" s="1">
        <v>3</v>
      </c>
      <c r="S24" s="11">
        <v>4</v>
      </c>
      <c r="T24" s="11">
        <v>5</v>
      </c>
      <c r="U24" s="9">
        <v>3</v>
      </c>
      <c r="V24" s="1">
        <v>4</v>
      </c>
      <c r="W24" s="1">
        <f>SUM(N24:V24)</f>
        <v>36</v>
      </c>
      <c r="X24" s="8"/>
      <c r="Y24" s="7"/>
    </row>
    <row r="25" spans="1:26" outlineLevel="1" x14ac:dyDescent="0.35">
      <c r="A25" s="1" t="s">
        <v>1</v>
      </c>
      <c r="B25" s="5"/>
      <c r="C25" s="5"/>
      <c r="D25" s="5"/>
      <c r="E25" s="5"/>
      <c r="F25" s="5"/>
      <c r="G25" s="12"/>
      <c r="H25" s="5"/>
      <c r="I25" s="15"/>
      <c r="J25" s="5"/>
      <c r="K25" s="5"/>
      <c r="L25" s="5"/>
      <c r="M25" s="5"/>
      <c r="N25" s="5"/>
      <c r="O25" s="5"/>
      <c r="P25" s="12"/>
      <c r="Q25" s="5"/>
      <c r="R25" s="5"/>
      <c r="S25" s="12"/>
      <c r="T25" s="12"/>
      <c r="U25" s="5"/>
      <c r="V25" s="5"/>
      <c r="W25" s="5"/>
      <c r="X25" s="5"/>
      <c r="Y25" s="5"/>
    </row>
    <row r="26" spans="1:26" outlineLevel="1" x14ac:dyDescent="0.35">
      <c r="A26" s="1" t="s">
        <v>5</v>
      </c>
      <c r="B26" s="2">
        <v>12</v>
      </c>
      <c r="C26" s="2">
        <v>9</v>
      </c>
      <c r="D26" s="10">
        <v>3</v>
      </c>
      <c r="E26" s="2">
        <v>15</v>
      </c>
      <c r="F26" s="2">
        <v>6</v>
      </c>
      <c r="G26" s="13">
        <v>9</v>
      </c>
      <c r="H26" s="2">
        <v>6</v>
      </c>
      <c r="I26" s="16">
        <v>6</v>
      </c>
      <c r="J26" s="2">
        <v>8</v>
      </c>
      <c r="K26" s="1">
        <f t="shared" ref="K26:K33" si="6">SUM(B26:J26)</f>
        <v>74</v>
      </c>
      <c r="L26" s="32">
        <v>24.291666666666664</v>
      </c>
      <c r="M26" s="32">
        <f>K26-L26</f>
        <v>49.708333333333336</v>
      </c>
      <c r="N26" s="2">
        <v>6</v>
      </c>
      <c r="O26" s="2">
        <v>7</v>
      </c>
      <c r="P26" s="13">
        <v>12</v>
      </c>
      <c r="Q26" s="2">
        <v>6</v>
      </c>
      <c r="R26" s="2">
        <v>4</v>
      </c>
      <c r="S26" s="13">
        <v>7</v>
      </c>
      <c r="T26" s="13">
        <v>9</v>
      </c>
      <c r="U26" s="10">
        <v>5</v>
      </c>
      <c r="V26" s="2">
        <v>7</v>
      </c>
      <c r="W26" s="1">
        <f t="shared" ref="W26:W33" si="7">SUM(N26:V26)</f>
        <v>63</v>
      </c>
      <c r="X26" s="32">
        <v>24.291666666666664</v>
      </c>
      <c r="Y26" s="32">
        <f>W26-X26</f>
        <v>38.708333333333336</v>
      </c>
    </row>
    <row r="27" spans="1:26" x14ac:dyDescent="0.35">
      <c r="A27" s="1" t="s">
        <v>6</v>
      </c>
      <c r="B27" s="2">
        <v>6</v>
      </c>
      <c r="C27" s="2">
        <v>7</v>
      </c>
      <c r="D27" s="10">
        <v>4</v>
      </c>
      <c r="E27" s="2">
        <v>7</v>
      </c>
      <c r="F27" s="2">
        <v>7</v>
      </c>
      <c r="G27" s="13">
        <v>8</v>
      </c>
      <c r="H27" s="2">
        <v>4</v>
      </c>
      <c r="I27" s="16">
        <v>8</v>
      </c>
      <c r="J27" s="2">
        <v>5</v>
      </c>
      <c r="K27" s="1">
        <f t="shared" si="6"/>
        <v>56</v>
      </c>
      <c r="L27" s="32">
        <v>12.674999999999997</v>
      </c>
      <c r="M27" s="32">
        <f t="shared" ref="M27:M33" si="8">K27-L27</f>
        <v>43.325000000000003</v>
      </c>
      <c r="N27" s="2">
        <v>4</v>
      </c>
      <c r="O27" s="2">
        <v>6</v>
      </c>
      <c r="P27" s="13">
        <v>6</v>
      </c>
      <c r="Q27" s="2">
        <v>4</v>
      </c>
      <c r="R27" s="2">
        <v>3</v>
      </c>
      <c r="S27" s="13">
        <v>5</v>
      </c>
      <c r="T27" s="13">
        <v>6</v>
      </c>
      <c r="U27" s="10">
        <v>5</v>
      </c>
      <c r="V27" s="2">
        <v>5</v>
      </c>
      <c r="W27" s="1">
        <f t="shared" si="7"/>
        <v>44</v>
      </c>
      <c r="X27" s="32">
        <v>12.674999999999997</v>
      </c>
      <c r="Y27" s="32">
        <f t="shared" ref="Y27:Y33" si="9">W27-X27</f>
        <v>31.325000000000003</v>
      </c>
    </row>
    <row r="28" spans="1:26" x14ac:dyDescent="0.35">
      <c r="A28" s="1" t="s">
        <v>7</v>
      </c>
      <c r="B28" s="2">
        <v>8</v>
      </c>
      <c r="C28" s="2">
        <v>7</v>
      </c>
      <c r="D28" s="10">
        <v>2</v>
      </c>
      <c r="E28" s="2">
        <v>6</v>
      </c>
      <c r="F28" s="2">
        <v>4</v>
      </c>
      <c r="G28" s="13">
        <v>5</v>
      </c>
      <c r="H28" s="2">
        <v>3</v>
      </c>
      <c r="I28" s="16">
        <v>4</v>
      </c>
      <c r="J28" s="2">
        <v>5</v>
      </c>
      <c r="K28" s="1">
        <f t="shared" si="6"/>
        <v>44</v>
      </c>
      <c r="L28" s="32">
        <v>7.4659090909090935</v>
      </c>
      <c r="M28" s="32">
        <f t="shared" si="8"/>
        <v>36.534090909090907</v>
      </c>
      <c r="N28" s="2">
        <v>7</v>
      </c>
      <c r="O28" s="2">
        <v>5</v>
      </c>
      <c r="P28" s="13">
        <v>5</v>
      </c>
      <c r="Q28" s="2">
        <v>4</v>
      </c>
      <c r="R28" s="2">
        <v>4</v>
      </c>
      <c r="S28" s="13">
        <v>4</v>
      </c>
      <c r="T28" s="13">
        <v>5</v>
      </c>
      <c r="U28" s="10">
        <v>4</v>
      </c>
      <c r="V28" s="2">
        <v>5</v>
      </c>
      <c r="W28" s="1">
        <f t="shared" si="7"/>
        <v>43</v>
      </c>
      <c r="X28" s="32">
        <v>7.4659090909090935</v>
      </c>
      <c r="Y28" s="32">
        <f t="shared" si="9"/>
        <v>35.534090909090907</v>
      </c>
    </row>
    <row r="29" spans="1:26" x14ac:dyDescent="0.35">
      <c r="A29" s="1" t="s">
        <v>0</v>
      </c>
      <c r="B29" s="2">
        <v>8</v>
      </c>
      <c r="C29" s="2">
        <v>9</v>
      </c>
      <c r="D29" s="10">
        <v>5</v>
      </c>
      <c r="E29" s="2">
        <v>6</v>
      </c>
      <c r="F29" s="2">
        <v>5</v>
      </c>
      <c r="G29" s="13">
        <v>8</v>
      </c>
      <c r="H29" s="2">
        <v>5</v>
      </c>
      <c r="I29" s="16">
        <v>7</v>
      </c>
      <c r="J29" s="2">
        <v>5</v>
      </c>
      <c r="K29" s="1">
        <f t="shared" si="6"/>
        <v>58</v>
      </c>
      <c r="L29" s="32">
        <v>21.55681818181818</v>
      </c>
      <c r="M29" s="32">
        <f t="shared" si="8"/>
        <v>36.44318181818182</v>
      </c>
      <c r="N29" s="2">
        <v>7</v>
      </c>
      <c r="O29" s="2">
        <v>8</v>
      </c>
      <c r="P29" s="13">
        <v>10</v>
      </c>
      <c r="Q29" s="2">
        <v>12</v>
      </c>
      <c r="R29" s="2">
        <v>6</v>
      </c>
      <c r="S29" s="13">
        <v>8</v>
      </c>
      <c r="T29" s="13">
        <v>12</v>
      </c>
      <c r="U29" s="10">
        <v>5</v>
      </c>
      <c r="V29" s="2">
        <v>7</v>
      </c>
      <c r="W29" s="1">
        <f t="shared" si="7"/>
        <v>75</v>
      </c>
      <c r="X29" s="32">
        <v>21.55681818181818</v>
      </c>
      <c r="Y29" s="32">
        <f t="shared" si="9"/>
        <v>53.44318181818182</v>
      </c>
    </row>
    <row r="30" spans="1:26" x14ac:dyDescent="0.35">
      <c r="A30" s="1" t="s">
        <v>2</v>
      </c>
      <c r="B30" s="2"/>
      <c r="C30" s="2"/>
      <c r="D30" s="10"/>
      <c r="E30" s="2"/>
      <c r="F30" s="2"/>
      <c r="G30" s="13"/>
      <c r="H30" s="2"/>
      <c r="I30" s="16"/>
      <c r="J30" s="2"/>
      <c r="K30" s="1">
        <f t="shared" si="6"/>
        <v>0</v>
      </c>
      <c r="L30" s="32">
        <v>7.375</v>
      </c>
      <c r="M30" s="32">
        <f t="shared" si="8"/>
        <v>-7.375</v>
      </c>
      <c r="N30" s="2"/>
      <c r="O30" s="2"/>
      <c r="P30" s="13"/>
      <c r="Q30" s="2"/>
      <c r="R30" s="2"/>
      <c r="S30" s="13"/>
      <c r="T30" s="13"/>
      <c r="U30" s="10"/>
      <c r="V30" s="2"/>
      <c r="W30" s="1">
        <f>SUM(N30:V30)</f>
        <v>0</v>
      </c>
      <c r="X30" s="32">
        <v>7.375</v>
      </c>
      <c r="Y30" s="32">
        <f t="shared" si="9"/>
        <v>-7.375</v>
      </c>
    </row>
    <row r="31" spans="1:26" x14ac:dyDescent="0.35">
      <c r="A31" s="1" t="s">
        <v>3</v>
      </c>
      <c r="B31" s="2">
        <v>4</v>
      </c>
      <c r="C31" s="2">
        <v>5</v>
      </c>
      <c r="D31" s="10">
        <v>3</v>
      </c>
      <c r="E31" s="2">
        <v>7</v>
      </c>
      <c r="F31" s="2">
        <v>4</v>
      </c>
      <c r="G31" s="13">
        <v>6</v>
      </c>
      <c r="H31" s="2">
        <v>5</v>
      </c>
      <c r="I31" s="16">
        <v>4</v>
      </c>
      <c r="J31" s="2">
        <v>5</v>
      </c>
      <c r="K31" s="1">
        <f t="shared" si="6"/>
        <v>43</v>
      </c>
      <c r="L31" s="32">
        <v>7.7596153846153868</v>
      </c>
      <c r="M31" s="32">
        <f t="shared" si="8"/>
        <v>35.240384615384613</v>
      </c>
      <c r="N31" s="2">
        <v>4</v>
      </c>
      <c r="O31" s="2">
        <v>7</v>
      </c>
      <c r="P31" s="13">
        <v>6</v>
      </c>
      <c r="Q31" s="2">
        <v>4</v>
      </c>
      <c r="R31" s="2">
        <v>5</v>
      </c>
      <c r="S31" s="13">
        <v>4</v>
      </c>
      <c r="T31" s="13">
        <v>6</v>
      </c>
      <c r="U31" s="10">
        <v>3</v>
      </c>
      <c r="V31" s="2">
        <v>5</v>
      </c>
      <c r="W31" s="1">
        <f>SUM(N31:V31)</f>
        <v>44</v>
      </c>
      <c r="X31" s="32">
        <v>7.7596153846153868</v>
      </c>
      <c r="Y31" s="32">
        <f t="shared" si="9"/>
        <v>36.240384615384613</v>
      </c>
    </row>
    <row r="32" spans="1:26" x14ac:dyDescent="0.35">
      <c r="A32" s="1" t="s">
        <v>4</v>
      </c>
      <c r="B32" s="2">
        <v>8</v>
      </c>
      <c r="C32" s="2">
        <v>8</v>
      </c>
      <c r="D32" s="10">
        <v>4</v>
      </c>
      <c r="E32" s="2">
        <v>5</v>
      </c>
      <c r="F32" s="2">
        <v>4</v>
      </c>
      <c r="G32" s="13">
        <v>6</v>
      </c>
      <c r="H32" s="2">
        <v>4</v>
      </c>
      <c r="I32" s="16">
        <v>4</v>
      </c>
      <c r="J32" s="2">
        <v>6</v>
      </c>
      <c r="K32" s="1">
        <f t="shared" si="6"/>
        <v>49</v>
      </c>
      <c r="L32" s="32">
        <v>10.232142857142854</v>
      </c>
      <c r="M32" s="32">
        <f t="shared" si="8"/>
        <v>38.767857142857146</v>
      </c>
      <c r="N32" s="2">
        <v>5</v>
      </c>
      <c r="O32" s="2">
        <v>5</v>
      </c>
      <c r="P32" s="13">
        <v>7</v>
      </c>
      <c r="Q32" s="2">
        <v>4</v>
      </c>
      <c r="R32" s="2">
        <v>4</v>
      </c>
      <c r="S32" s="13">
        <v>4</v>
      </c>
      <c r="T32" s="13">
        <v>6</v>
      </c>
      <c r="U32" s="10">
        <v>4</v>
      </c>
      <c r="V32" s="2">
        <v>6</v>
      </c>
      <c r="W32" s="1">
        <f t="shared" si="7"/>
        <v>45</v>
      </c>
      <c r="X32" s="32">
        <v>10.232142857142854</v>
      </c>
      <c r="Y32" s="32">
        <f t="shared" si="9"/>
        <v>34.767857142857146</v>
      </c>
    </row>
    <row r="33" spans="1:25" x14ac:dyDescent="0.35">
      <c r="A33" s="1" t="s">
        <v>8</v>
      </c>
      <c r="B33" s="2">
        <v>11</v>
      </c>
      <c r="C33" s="2">
        <v>9</v>
      </c>
      <c r="D33" s="10">
        <v>5</v>
      </c>
      <c r="E33" s="2">
        <v>9</v>
      </c>
      <c r="F33" s="2">
        <v>5</v>
      </c>
      <c r="G33" s="13">
        <v>8</v>
      </c>
      <c r="H33" s="2">
        <v>5</v>
      </c>
      <c r="I33" s="16">
        <v>7</v>
      </c>
      <c r="J33" s="2">
        <v>13</v>
      </c>
      <c r="K33" s="1">
        <f t="shared" si="6"/>
        <v>72</v>
      </c>
      <c r="L33" s="32">
        <v>24.958333333333336</v>
      </c>
      <c r="M33" s="32">
        <f t="shared" si="8"/>
        <v>47.041666666666664</v>
      </c>
      <c r="N33" s="2">
        <v>6</v>
      </c>
      <c r="O33" s="2">
        <v>8</v>
      </c>
      <c r="P33" s="13">
        <v>6</v>
      </c>
      <c r="Q33" s="2">
        <v>6</v>
      </c>
      <c r="R33" s="2">
        <v>4</v>
      </c>
      <c r="S33" s="13">
        <v>5</v>
      </c>
      <c r="T33" s="13">
        <v>8</v>
      </c>
      <c r="U33" s="10">
        <v>4</v>
      </c>
      <c r="V33" s="2">
        <v>5</v>
      </c>
      <c r="W33" s="1">
        <f t="shared" si="7"/>
        <v>52</v>
      </c>
      <c r="X33" s="32">
        <v>24.958333333333336</v>
      </c>
      <c r="Y33" s="32">
        <f t="shared" si="9"/>
        <v>27.041666666666664</v>
      </c>
    </row>
    <row r="34" spans="1:25" x14ac:dyDescent="0.35">
      <c r="D34" s="9" t="s">
        <v>86</v>
      </c>
      <c r="H34" s="1" t="s">
        <v>87</v>
      </c>
      <c r="Q34" s="22"/>
      <c r="R34" s="1" t="s">
        <v>88</v>
      </c>
      <c r="U34" s="9" t="s">
        <v>89</v>
      </c>
    </row>
    <row r="36" spans="1:25" x14ac:dyDescent="0.35">
      <c r="A36" s="1" t="s">
        <v>96</v>
      </c>
      <c r="B36" s="1">
        <v>1</v>
      </c>
      <c r="C36" s="1">
        <v>2</v>
      </c>
      <c r="D36" s="1">
        <v>3</v>
      </c>
      <c r="E36" s="11">
        <v>4</v>
      </c>
      <c r="F36" s="11">
        <v>5</v>
      </c>
      <c r="G36" s="9">
        <v>6</v>
      </c>
      <c r="H36" s="1">
        <v>7</v>
      </c>
      <c r="I36" s="14">
        <v>8</v>
      </c>
      <c r="J36" s="14">
        <v>9</v>
      </c>
      <c r="K36" s="1" t="s">
        <v>9</v>
      </c>
      <c r="L36" s="1" t="s">
        <v>14</v>
      </c>
      <c r="M36" s="1" t="s">
        <v>20</v>
      </c>
      <c r="N36" s="1">
        <v>10</v>
      </c>
      <c r="O36" s="1">
        <v>11</v>
      </c>
      <c r="P36" s="9">
        <v>12</v>
      </c>
      <c r="Q36" s="1">
        <v>13</v>
      </c>
      <c r="R36" s="14">
        <v>14</v>
      </c>
      <c r="S36" s="11">
        <v>15</v>
      </c>
      <c r="T36" s="9">
        <v>16</v>
      </c>
      <c r="U36" s="1">
        <v>17</v>
      </c>
      <c r="V36" s="1">
        <v>18</v>
      </c>
      <c r="W36" s="1" t="s">
        <v>9</v>
      </c>
      <c r="X36" s="1" t="s">
        <v>14</v>
      </c>
      <c r="Y36" s="1" t="s">
        <v>20</v>
      </c>
    </row>
    <row r="37" spans="1:25" x14ac:dyDescent="0.35">
      <c r="A37" s="1" t="s">
        <v>15</v>
      </c>
      <c r="B37" s="1">
        <v>4</v>
      </c>
      <c r="C37" s="1">
        <v>5</v>
      </c>
      <c r="D37" s="1">
        <v>4</v>
      </c>
      <c r="E37" s="11">
        <v>3</v>
      </c>
      <c r="F37" s="11">
        <v>4</v>
      </c>
      <c r="G37" s="9">
        <v>3</v>
      </c>
      <c r="H37" s="1">
        <v>4</v>
      </c>
      <c r="I37" s="14">
        <v>5</v>
      </c>
      <c r="J37" s="14">
        <v>4</v>
      </c>
      <c r="K37" s="1">
        <f>SUM(B37:J37)</f>
        <v>36</v>
      </c>
      <c r="L37" s="7"/>
      <c r="M37" s="7"/>
      <c r="N37" s="1">
        <v>4</v>
      </c>
      <c r="O37" s="1">
        <v>4</v>
      </c>
      <c r="P37" s="9">
        <v>3</v>
      </c>
      <c r="Q37" s="1">
        <v>5</v>
      </c>
      <c r="R37" s="14">
        <v>4</v>
      </c>
      <c r="S37" s="11">
        <v>5</v>
      </c>
      <c r="T37" s="9">
        <v>3</v>
      </c>
      <c r="U37" s="1">
        <v>4</v>
      </c>
      <c r="V37" s="1">
        <v>4</v>
      </c>
      <c r="W37" s="1">
        <f>SUM(N37:V37)</f>
        <v>36</v>
      </c>
      <c r="X37" s="8"/>
      <c r="Y37" s="7"/>
    </row>
    <row r="38" spans="1:25" x14ac:dyDescent="0.35">
      <c r="A38" s="1" t="s">
        <v>1</v>
      </c>
      <c r="B38" s="5"/>
      <c r="C38" s="5"/>
      <c r="D38" s="5"/>
      <c r="E38" s="12"/>
      <c r="F38" s="12"/>
      <c r="G38" s="5"/>
      <c r="H38" s="5"/>
      <c r="I38" s="15"/>
      <c r="J38" s="15"/>
      <c r="K38" s="5"/>
      <c r="L38" s="5"/>
      <c r="M38" s="5"/>
      <c r="N38" s="5"/>
      <c r="O38" s="5"/>
      <c r="P38" s="5"/>
      <c r="Q38" s="5"/>
      <c r="R38" s="15"/>
      <c r="S38" s="12"/>
      <c r="T38" s="5"/>
      <c r="U38" s="5"/>
      <c r="V38" s="5"/>
      <c r="W38" s="5"/>
      <c r="X38" s="5"/>
      <c r="Y38" s="5"/>
    </row>
    <row r="39" spans="1:25" x14ac:dyDescent="0.35">
      <c r="A39" s="1" t="s">
        <v>5</v>
      </c>
      <c r="B39" s="2">
        <v>6</v>
      </c>
      <c r="C39" s="2">
        <v>8</v>
      </c>
      <c r="D39" s="2">
        <v>6</v>
      </c>
      <c r="E39" s="13">
        <v>5</v>
      </c>
      <c r="F39" s="13">
        <v>6</v>
      </c>
      <c r="G39" s="10">
        <v>4</v>
      </c>
      <c r="H39" s="2">
        <v>9</v>
      </c>
      <c r="I39" s="16">
        <v>8</v>
      </c>
      <c r="J39" s="16">
        <v>7</v>
      </c>
      <c r="K39" s="1">
        <f t="shared" ref="K39:K46" si="10">SUM(B39:J39)</f>
        <v>59</v>
      </c>
      <c r="L39" s="32">
        <v>24.291666666666664</v>
      </c>
      <c r="M39" s="32">
        <f>K39-L39</f>
        <v>34.708333333333336</v>
      </c>
      <c r="N39" s="2">
        <v>7</v>
      </c>
      <c r="O39" s="2">
        <v>8</v>
      </c>
      <c r="P39" s="10">
        <v>7</v>
      </c>
      <c r="Q39" s="2">
        <v>14</v>
      </c>
      <c r="R39" s="16">
        <v>7</v>
      </c>
      <c r="S39" s="13">
        <v>8</v>
      </c>
      <c r="T39" s="10">
        <v>5</v>
      </c>
      <c r="U39" s="2">
        <v>6</v>
      </c>
      <c r="V39" s="2">
        <v>10</v>
      </c>
      <c r="W39" s="1">
        <f t="shared" ref="W39:W46" si="11">SUM(N39:V39)</f>
        <v>72</v>
      </c>
      <c r="X39" s="32">
        <v>24.291666666666664</v>
      </c>
      <c r="Y39" s="32">
        <f>W39-X39</f>
        <v>47.708333333333336</v>
      </c>
    </row>
    <row r="40" spans="1:25" x14ac:dyDescent="0.35">
      <c r="A40" s="1" t="s">
        <v>6</v>
      </c>
      <c r="B40" s="2">
        <v>7</v>
      </c>
      <c r="C40" s="2">
        <v>7</v>
      </c>
      <c r="D40" s="2">
        <v>6</v>
      </c>
      <c r="E40" s="13">
        <v>4</v>
      </c>
      <c r="F40" s="13">
        <v>11</v>
      </c>
      <c r="G40" s="10">
        <v>6</v>
      </c>
      <c r="H40" s="2">
        <v>6</v>
      </c>
      <c r="I40" s="16">
        <v>6</v>
      </c>
      <c r="J40" s="16">
        <v>6</v>
      </c>
      <c r="K40" s="1">
        <f t="shared" si="10"/>
        <v>59</v>
      </c>
      <c r="L40" s="32">
        <v>12.674999999999997</v>
      </c>
      <c r="M40" s="32">
        <f t="shared" ref="M40:M46" si="12">K40-L40</f>
        <v>46.325000000000003</v>
      </c>
      <c r="N40" s="2">
        <v>8</v>
      </c>
      <c r="O40" s="2">
        <v>7</v>
      </c>
      <c r="P40" s="10">
        <v>4</v>
      </c>
      <c r="Q40" s="2">
        <v>9</v>
      </c>
      <c r="R40" s="16">
        <v>8</v>
      </c>
      <c r="S40" s="13">
        <v>8</v>
      </c>
      <c r="T40" s="10">
        <v>4</v>
      </c>
      <c r="U40" s="2">
        <v>6</v>
      </c>
      <c r="V40" s="2">
        <v>9</v>
      </c>
      <c r="W40" s="1">
        <f t="shared" si="11"/>
        <v>63</v>
      </c>
      <c r="X40" s="32">
        <v>12.674999999999997</v>
      </c>
      <c r="Y40" s="32">
        <f t="shared" ref="Y40:Y46" si="13">W40-X40</f>
        <v>50.325000000000003</v>
      </c>
    </row>
    <row r="41" spans="1:25" x14ac:dyDescent="0.35">
      <c r="A41" s="1" t="s">
        <v>7</v>
      </c>
      <c r="B41" s="2">
        <v>6</v>
      </c>
      <c r="C41" s="2">
        <v>5</v>
      </c>
      <c r="D41" s="2">
        <v>4</v>
      </c>
      <c r="E41" s="13">
        <v>4</v>
      </c>
      <c r="F41" s="13">
        <v>5</v>
      </c>
      <c r="G41" s="10">
        <v>4</v>
      </c>
      <c r="H41" s="2">
        <v>5</v>
      </c>
      <c r="I41" s="16">
        <v>6</v>
      </c>
      <c r="J41" s="16">
        <v>4</v>
      </c>
      <c r="K41" s="1">
        <f t="shared" si="10"/>
        <v>43</v>
      </c>
      <c r="L41" s="32">
        <v>7.4659090909090935</v>
      </c>
      <c r="M41" s="32">
        <f t="shared" si="12"/>
        <v>35.534090909090907</v>
      </c>
      <c r="N41" s="2">
        <v>7</v>
      </c>
      <c r="O41" s="2">
        <v>4</v>
      </c>
      <c r="P41" s="10">
        <v>4</v>
      </c>
      <c r="Q41" s="2">
        <v>7</v>
      </c>
      <c r="R41" s="16">
        <v>5</v>
      </c>
      <c r="S41" s="13">
        <v>5</v>
      </c>
      <c r="T41" s="10">
        <v>4</v>
      </c>
      <c r="U41" s="2">
        <v>6</v>
      </c>
      <c r="V41" s="2">
        <v>6</v>
      </c>
      <c r="W41" s="1">
        <f t="shared" si="11"/>
        <v>48</v>
      </c>
      <c r="X41" s="32">
        <v>7.4659090909090935</v>
      </c>
      <c r="Y41" s="32">
        <f t="shared" si="13"/>
        <v>40.534090909090907</v>
      </c>
    </row>
    <row r="42" spans="1:25" x14ac:dyDescent="0.35">
      <c r="A42" s="1" t="s">
        <v>0</v>
      </c>
      <c r="B42" s="2">
        <v>7</v>
      </c>
      <c r="C42" s="2">
        <v>6</v>
      </c>
      <c r="D42" s="2">
        <v>5</v>
      </c>
      <c r="E42" s="13">
        <v>4</v>
      </c>
      <c r="F42" s="13">
        <v>7</v>
      </c>
      <c r="G42" s="10">
        <v>3</v>
      </c>
      <c r="H42" s="2">
        <v>7</v>
      </c>
      <c r="I42" s="16">
        <v>6</v>
      </c>
      <c r="J42" s="16">
        <v>8</v>
      </c>
      <c r="K42" s="1">
        <f t="shared" si="10"/>
        <v>53</v>
      </c>
      <c r="L42" s="32">
        <v>21.55681818181818</v>
      </c>
      <c r="M42" s="32">
        <f t="shared" si="12"/>
        <v>31.44318181818182</v>
      </c>
      <c r="N42" s="2">
        <v>9</v>
      </c>
      <c r="O42" s="2">
        <v>5</v>
      </c>
      <c r="P42" s="10">
        <v>12</v>
      </c>
      <c r="Q42" s="2">
        <v>11</v>
      </c>
      <c r="R42" s="16">
        <v>6</v>
      </c>
      <c r="S42" s="13">
        <v>7</v>
      </c>
      <c r="T42" s="10">
        <v>6</v>
      </c>
      <c r="U42" s="2">
        <v>6</v>
      </c>
      <c r="V42" s="2">
        <v>10</v>
      </c>
      <c r="W42" s="1">
        <f t="shared" si="11"/>
        <v>72</v>
      </c>
      <c r="X42" s="32">
        <v>21.55681818181818</v>
      </c>
      <c r="Y42" s="32">
        <f t="shared" si="13"/>
        <v>50.44318181818182</v>
      </c>
    </row>
    <row r="43" spans="1:25" x14ac:dyDescent="0.35">
      <c r="A43" s="1" t="s">
        <v>2</v>
      </c>
      <c r="B43" s="2">
        <v>4</v>
      </c>
      <c r="C43" s="2">
        <v>6</v>
      </c>
      <c r="D43" s="2">
        <v>4</v>
      </c>
      <c r="E43" s="13">
        <v>4</v>
      </c>
      <c r="F43" s="13">
        <v>7</v>
      </c>
      <c r="G43" s="10">
        <v>7</v>
      </c>
      <c r="H43" s="2">
        <v>4</v>
      </c>
      <c r="I43" s="16">
        <v>4</v>
      </c>
      <c r="J43" s="16">
        <v>4</v>
      </c>
      <c r="K43" s="1">
        <f t="shared" si="10"/>
        <v>44</v>
      </c>
      <c r="L43" s="32">
        <v>7.375</v>
      </c>
      <c r="M43" s="32">
        <f t="shared" si="12"/>
        <v>36.625</v>
      </c>
      <c r="N43" s="2">
        <v>6</v>
      </c>
      <c r="O43" s="2">
        <v>5</v>
      </c>
      <c r="P43" s="10">
        <v>3</v>
      </c>
      <c r="Q43" s="2">
        <v>5</v>
      </c>
      <c r="R43" s="16">
        <v>9</v>
      </c>
      <c r="S43" s="13">
        <v>5</v>
      </c>
      <c r="T43" s="10">
        <v>4</v>
      </c>
      <c r="U43" s="2">
        <v>4</v>
      </c>
      <c r="V43" s="2">
        <v>5</v>
      </c>
      <c r="W43" s="1">
        <f t="shared" si="11"/>
        <v>46</v>
      </c>
      <c r="X43" s="32">
        <v>7.375</v>
      </c>
      <c r="Y43" s="32">
        <f t="shared" si="13"/>
        <v>38.625</v>
      </c>
    </row>
    <row r="44" spans="1:25" x14ac:dyDescent="0.35">
      <c r="A44" s="1" t="s">
        <v>3</v>
      </c>
      <c r="B44" s="2">
        <v>5</v>
      </c>
      <c r="C44" s="2">
        <v>6</v>
      </c>
      <c r="D44" s="2">
        <v>5</v>
      </c>
      <c r="E44" s="13">
        <v>6</v>
      </c>
      <c r="F44" s="13">
        <v>7</v>
      </c>
      <c r="G44" s="10">
        <v>5</v>
      </c>
      <c r="H44" s="2">
        <v>4</v>
      </c>
      <c r="I44" s="16">
        <v>4</v>
      </c>
      <c r="J44" s="16">
        <v>6</v>
      </c>
      <c r="K44" s="1">
        <f t="shared" si="10"/>
        <v>48</v>
      </c>
      <c r="L44" s="32">
        <v>7.7596153846153868</v>
      </c>
      <c r="M44" s="32">
        <f t="shared" si="12"/>
        <v>40.240384615384613</v>
      </c>
      <c r="N44" s="2">
        <v>5</v>
      </c>
      <c r="O44" s="2">
        <v>4</v>
      </c>
      <c r="P44" s="10">
        <v>3</v>
      </c>
      <c r="Q44" s="2">
        <v>8</v>
      </c>
      <c r="R44" s="16">
        <v>4</v>
      </c>
      <c r="S44" s="13">
        <v>5</v>
      </c>
      <c r="T44" s="10">
        <v>6</v>
      </c>
      <c r="U44" s="2">
        <v>5</v>
      </c>
      <c r="V44" s="2">
        <v>5</v>
      </c>
      <c r="W44" s="1">
        <f t="shared" si="11"/>
        <v>45</v>
      </c>
      <c r="X44" s="32">
        <v>7.7596153846153868</v>
      </c>
      <c r="Y44" s="32">
        <f t="shared" si="13"/>
        <v>37.240384615384613</v>
      </c>
    </row>
    <row r="45" spans="1:25" x14ac:dyDescent="0.35">
      <c r="A45" s="1" t="s">
        <v>4</v>
      </c>
      <c r="B45" s="2">
        <v>4</v>
      </c>
      <c r="C45" s="2">
        <v>6</v>
      </c>
      <c r="D45" s="2">
        <v>6</v>
      </c>
      <c r="E45" s="13">
        <v>5</v>
      </c>
      <c r="F45" s="13">
        <v>5</v>
      </c>
      <c r="G45" s="10">
        <v>4</v>
      </c>
      <c r="H45" s="2">
        <v>6</v>
      </c>
      <c r="I45" s="16">
        <v>6</v>
      </c>
      <c r="J45" s="16">
        <v>7</v>
      </c>
      <c r="K45" s="1">
        <f t="shared" si="10"/>
        <v>49</v>
      </c>
      <c r="L45" s="32">
        <v>10.232142857142854</v>
      </c>
      <c r="M45" s="32">
        <f t="shared" si="12"/>
        <v>38.767857142857146</v>
      </c>
      <c r="N45" s="2">
        <v>5</v>
      </c>
      <c r="O45" s="2">
        <v>5</v>
      </c>
      <c r="P45" s="10">
        <v>5</v>
      </c>
      <c r="Q45" s="2">
        <v>6</v>
      </c>
      <c r="R45" s="16">
        <v>6</v>
      </c>
      <c r="S45" s="13">
        <v>8</v>
      </c>
      <c r="T45" s="10">
        <v>5</v>
      </c>
      <c r="U45" s="2">
        <v>5</v>
      </c>
      <c r="V45" s="2">
        <v>7</v>
      </c>
      <c r="W45" s="1">
        <f t="shared" si="11"/>
        <v>52</v>
      </c>
      <c r="X45" s="32">
        <v>10.232142857142854</v>
      </c>
      <c r="Y45" s="32">
        <f t="shared" si="13"/>
        <v>41.767857142857146</v>
      </c>
    </row>
    <row r="46" spans="1:25" x14ac:dyDescent="0.35">
      <c r="A46" s="1" t="s">
        <v>8</v>
      </c>
      <c r="B46" s="2">
        <v>9</v>
      </c>
      <c r="C46" s="2">
        <v>6</v>
      </c>
      <c r="D46" s="2">
        <v>5</v>
      </c>
      <c r="E46" s="13">
        <v>6</v>
      </c>
      <c r="F46" s="13">
        <v>6</v>
      </c>
      <c r="G46" s="10">
        <v>4</v>
      </c>
      <c r="H46" s="2">
        <v>6</v>
      </c>
      <c r="I46" s="16">
        <v>7</v>
      </c>
      <c r="J46" s="16">
        <v>6</v>
      </c>
      <c r="K46" s="1">
        <f t="shared" si="10"/>
        <v>55</v>
      </c>
      <c r="L46" s="32">
        <v>24.958333333333336</v>
      </c>
      <c r="M46" s="32">
        <f t="shared" si="12"/>
        <v>30.041666666666664</v>
      </c>
      <c r="N46" s="2">
        <v>8</v>
      </c>
      <c r="O46" s="2">
        <v>5</v>
      </c>
      <c r="P46" s="10">
        <v>7</v>
      </c>
      <c r="Q46" s="2">
        <v>7</v>
      </c>
      <c r="R46" s="16">
        <v>6</v>
      </c>
      <c r="S46" s="13">
        <v>12</v>
      </c>
      <c r="T46" s="10">
        <v>5</v>
      </c>
      <c r="U46" s="2">
        <v>6</v>
      </c>
      <c r="V46" s="2">
        <v>7</v>
      </c>
      <c r="W46" s="1">
        <f t="shared" si="11"/>
        <v>63</v>
      </c>
      <c r="X46" s="32">
        <v>24.958333333333336</v>
      </c>
      <c r="Y46" s="32">
        <f t="shared" si="13"/>
        <v>38.041666666666664</v>
      </c>
    </row>
    <row r="47" spans="1:25" x14ac:dyDescent="0.35">
      <c r="E47" s="28" t="s">
        <v>94</v>
      </c>
      <c r="G47" s="9" t="s">
        <v>95</v>
      </c>
      <c r="P47" s="9" t="s">
        <v>68</v>
      </c>
      <c r="T47" s="9" t="s">
        <v>38</v>
      </c>
    </row>
    <row r="49" spans="1:25" x14ac:dyDescent="0.35">
      <c r="A49" s="1" t="s">
        <v>97</v>
      </c>
      <c r="B49" s="1">
        <v>1</v>
      </c>
      <c r="C49" s="1">
        <v>2</v>
      </c>
      <c r="D49" s="1">
        <v>3</v>
      </c>
      <c r="E49" s="1">
        <v>4</v>
      </c>
      <c r="F49" s="28">
        <v>5</v>
      </c>
      <c r="G49" s="1">
        <v>6</v>
      </c>
      <c r="H49" s="1">
        <v>7</v>
      </c>
      <c r="I49" s="14">
        <v>8</v>
      </c>
      <c r="J49" s="9">
        <v>9</v>
      </c>
      <c r="K49" s="1" t="s">
        <v>9</v>
      </c>
      <c r="L49" s="1" t="s">
        <v>14</v>
      </c>
      <c r="M49" s="1" t="s">
        <v>20</v>
      </c>
      <c r="N49" s="14">
        <v>10</v>
      </c>
      <c r="O49" s="1">
        <v>11</v>
      </c>
      <c r="P49" s="1">
        <v>12</v>
      </c>
      <c r="Q49" s="1">
        <v>13</v>
      </c>
      <c r="R49" s="14">
        <v>14</v>
      </c>
      <c r="S49" s="11">
        <v>15</v>
      </c>
      <c r="T49" s="9">
        <v>16</v>
      </c>
      <c r="U49" s="14">
        <v>17</v>
      </c>
      <c r="V49" s="1">
        <v>18</v>
      </c>
      <c r="W49" s="1" t="s">
        <v>9</v>
      </c>
      <c r="X49" s="1" t="s">
        <v>14</v>
      </c>
      <c r="Y49" s="1" t="s">
        <v>20</v>
      </c>
    </row>
    <row r="50" spans="1:25" x14ac:dyDescent="0.35">
      <c r="A50" s="1" t="s">
        <v>15</v>
      </c>
      <c r="B50" s="1">
        <v>5</v>
      </c>
      <c r="C50" s="1">
        <v>4</v>
      </c>
      <c r="D50" s="1">
        <v>4</v>
      </c>
      <c r="E50" s="1">
        <v>3</v>
      </c>
      <c r="F50" s="28">
        <v>4</v>
      </c>
      <c r="G50" s="1">
        <v>3</v>
      </c>
      <c r="H50" s="1">
        <v>5</v>
      </c>
      <c r="I50" s="14">
        <v>5</v>
      </c>
      <c r="J50" s="9">
        <v>3</v>
      </c>
      <c r="K50" s="1">
        <f>SUM(B50:J50)</f>
        <v>36</v>
      </c>
      <c r="L50" s="7"/>
      <c r="M50" s="7"/>
      <c r="N50" s="14">
        <v>5</v>
      </c>
      <c r="O50" s="1">
        <v>4</v>
      </c>
      <c r="P50" s="1">
        <v>3</v>
      </c>
      <c r="Q50" s="1">
        <v>4</v>
      </c>
      <c r="R50" s="14">
        <v>3</v>
      </c>
      <c r="S50" s="11">
        <v>5</v>
      </c>
      <c r="T50" s="9">
        <v>3</v>
      </c>
      <c r="U50" s="14">
        <v>4</v>
      </c>
      <c r="V50" s="1">
        <v>5</v>
      </c>
      <c r="W50" s="1">
        <f>SUM(N50:V50)</f>
        <v>36</v>
      </c>
      <c r="X50" s="8"/>
      <c r="Y50" s="7"/>
    </row>
    <row r="51" spans="1:25" x14ac:dyDescent="0.35">
      <c r="A51" s="1" t="s">
        <v>1</v>
      </c>
      <c r="B51" s="5"/>
      <c r="C51" s="5"/>
      <c r="D51" s="5"/>
      <c r="E51" s="5"/>
      <c r="F51" s="5"/>
      <c r="G51" s="5"/>
      <c r="H51" s="5"/>
      <c r="I51" s="15"/>
      <c r="J51" s="5"/>
      <c r="K51" s="5"/>
      <c r="L51" s="5"/>
      <c r="M51" s="5"/>
      <c r="N51" s="15"/>
      <c r="O51" s="5"/>
      <c r="P51" s="5"/>
      <c r="Q51" s="5"/>
      <c r="R51" s="15"/>
      <c r="S51" s="12"/>
      <c r="T51" s="5"/>
      <c r="U51" s="15"/>
      <c r="V51" s="5"/>
      <c r="W51" s="5"/>
      <c r="X51" s="5"/>
      <c r="Y51" s="5"/>
    </row>
    <row r="52" spans="1:25" x14ac:dyDescent="0.35">
      <c r="A52" s="1" t="s">
        <v>5</v>
      </c>
      <c r="B52" s="2">
        <v>9</v>
      </c>
      <c r="C52" s="2">
        <v>7</v>
      </c>
      <c r="D52" s="2">
        <v>5</v>
      </c>
      <c r="E52" s="2">
        <v>4</v>
      </c>
      <c r="F52" s="29">
        <v>5</v>
      </c>
      <c r="G52" s="2">
        <v>5</v>
      </c>
      <c r="H52" s="2">
        <v>7</v>
      </c>
      <c r="I52" s="16">
        <v>8</v>
      </c>
      <c r="J52" s="10">
        <v>4</v>
      </c>
      <c r="K52" s="1">
        <f t="shared" ref="K52:K59" si="14">SUM(B52:J52)</f>
        <v>54</v>
      </c>
      <c r="L52" s="32">
        <v>24.291666666666664</v>
      </c>
      <c r="M52" s="32">
        <f>K52-L52</f>
        <v>29.708333333333336</v>
      </c>
      <c r="N52" s="16">
        <v>6</v>
      </c>
      <c r="O52" s="2">
        <v>6</v>
      </c>
      <c r="P52" s="2">
        <v>4</v>
      </c>
      <c r="Q52" s="2">
        <v>6</v>
      </c>
      <c r="R52" s="16">
        <v>5</v>
      </c>
      <c r="S52" s="13">
        <v>7</v>
      </c>
      <c r="T52" s="10">
        <v>6</v>
      </c>
      <c r="U52" s="16">
        <v>9</v>
      </c>
      <c r="V52" s="2">
        <v>10</v>
      </c>
      <c r="W52" s="1">
        <f t="shared" ref="W52:W59" si="15">SUM(N52:V52)</f>
        <v>59</v>
      </c>
      <c r="X52" s="32">
        <v>24.291666666666664</v>
      </c>
      <c r="Y52" s="32">
        <f>W52-X52</f>
        <v>34.708333333333336</v>
      </c>
    </row>
    <row r="53" spans="1:25" x14ac:dyDescent="0.35">
      <c r="A53" s="1" t="s">
        <v>6</v>
      </c>
      <c r="B53" s="2">
        <v>6</v>
      </c>
      <c r="C53" s="2">
        <v>7</v>
      </c>
      <c r="D53" s="2">
        <v>5</v>
      </c>
      <c r="E53" s="2">
        <v>5</v>
      </c>
      <c r="F53" s="29">
        <v>3</v>
      </c>
      <c r="G53" s="2">
        <v>4</v>
      </c>
      <c r="H53" s="2">
        <v>6</v>
      </c>
      <c r="I53" s="16">
        <v>5</v>
      </c>
      <c r="J53" s="10">
        <v>3</v>
      </c>
      <c r="K53" s="1">
        <f t="shared" si="14"/>
        <v>44</v>
      </c>
      <c r="L53" s="32">
        <v>12.674999999999997</v>
      </c>
      <c r="M53" s="32">
        <f t="shared" ref="M53:M59" si="16">K53-L53</f>
        <v>31.325000000000003</v>
      </c>
      <c r="N53" s="16">
        <v>7</v>
      </c>
      <c r="O53" s="2">
        <v>5</v>
      </c>
      <c r="P53" s="2">
        <v>5</v>
      </c>
      <c r="Q53" s="2">
        <v>5</v>
      </c>
      <c r="R53" s="16">
        <v>3</v>
      </c>
      <c r="S53" s="13">
        <v>6</v>
      </c>
      <c r="T53" s="10">
        <v>4</v>
      </c>
      <c r="U53" s="16">
        <v>7</v>
      </c>
      <c r="V53" s="2">
        <v>7</v>
      </c>
      <c r="W53" s="1">
        <f t="shared" si="15"/>
        <v>49</v>
      </c>
      <c r="X53" s="32">
        <v>12.674999999999997</v>
      </c>
      <c r="Y53" s="32">
        <f t="shared" ref="Y53:Y59" si="17">W53-X53</f>
        <v>36.325000000000003</v>
      </c>
    </row>
    <row r="54" spans="1:25" x14ac:dyDescent="0.35">
      <c r="A54" s="1" t="s">
        <v>7</v>
      </c>
      <c r="B54" s="2"/>
      <c r="C54" s="2"/>
      <c r="D54" s="2"/>
      <c r="E54" s="2"/>
      <c r="F54" s="29"/>
      <c r="G54" s="2"/>
      <c r="H54" s="2"/>
      <c r="I54" s="16"/>
      <c r="J54" s="10"/>
      <c r="K54" s="1">
        <f t="shared" si="14"/>
        <v>0</v>
      </c>
      <c r="L54" s="32">
        <v>7.4659090909090935</v>
      </c>
      <c r="M54" s="32">
        <f t="shared" si="16"/>
        <v>-7.4659090909090935</v>
      </c>
      <c r="N54" s="16"/>
      <c r="O54" s="2"/>
      <c r="P54" s="2"/>
      <c r="Q54" s="2"/>
      <c r="R54" s="16"/>
      <c r="S54" s="13"/>
      <c r="T54" s="10"/>
      <c r="U54" s="16"/>
      <c r="V54" s="2"/>
      <c r="W54" s="1">
        <f t="shared" si="15"/>
        <v>0</v>
      </c>
      <c r="X54" s="32">
        <v>7.4659090909090935</v>
      </c>
      <c r="Y54" s="32">
        <f t="shared" si="17"/>
        <v>-7.4659090909090935</v>
      </c>
    </row>
    <row r="55" spans="1:25" x14ac:dyDescent="0.35">
      <c r="A55" s="1" t="s">
        <v>0</v>
      </c>
      <c r="B55" s="2">
        <v>9</v>
      </c>
      <c r="C55" s="2">
        <v>5</v>
      </c>
      <c r="D55" s="2">
        <v>5</v>
      </c>
      <c r="E55" s="2">
        <v>4</v>
      </c>
      <c r="F55" s="29">
        <v>6</v>
      </c>
      <c r="G55" s="2">
        <v>4</v>
      </c>
      <c r="H55" s="2">
        <v>7</v>
      </c>
      <c r="I55" s="16">
        <v>12</v>
      </c>
      <c r="J55" s="10">
        <v>4</v>
      </c>
      <c r="K55" s="1">
        <f t="shared" si="14"/>
        <v>56</v>
      </c>
      <c r="L55" s="32">
        <v>21.55681818181818</v>
      </c>
      <c r="M55" s="32">
        <f t="shared" si="16"/>
        <v>34.44318181818182</v>
      </c>
      <c r="N55" s="16">
        <v>6</v>
      </c>
      <c r="O55" s="2">
        <v>9</v>
      </c>
      <c r="P55" s="2">
        <v>3</v>
      </c>
      <c r="Q55" s="2">
        <v>5</v>
      </c>
      <c r="R55" s="16">
        <v>4</v>
      </c>
      <c r="S55" s="13">
        <v>8</v>
      </c>
      <c r="T55" s="10">
        <v>4</v>
      </c>
      <c r="U55" s="16">
        <v>6</v>
      </c>
      <c r="V55" s="2">
        <v>12</v>
      </c>
      <c r="W55" s="1">
        <f t="shared" si="15"/>
        <v>57</v>
      </c>
      <c r="X55" s="32">
        <v>21.55681818181818</v>
      </c>
      <c r="Y55" s="32">
        <f t="shared" si="17"/>
        <v>35.44318181818182</v>
      </c>
    </row>
    <row r="56" spans="1:25" x14ac:dyDescent="0.35">
      <c r="A56" s="1" t="s">
        <v>2</v>
      </c>
      <c r="B56" s="2">
        <v>5</v>
      </c>
      <c r="C56" s="2">
        <v>5</v>
      </c>
      <c r="D56" s="2">
        <v>4</v>
      </c>
      <c r="E56" s="2">
        <v>4</v>
      </c>
      <c r="F56" s="29">
        <v>4</v>
      </c>
      <c r="G56" s="2">
        <v>4</v>
      </c>
      <c r="H56" s="2">
        <v>5</v>
      </c>
      <c r="I56" s="16">
        <v>5</v>
      </c>
      <c r="J56" s="10">
        <v>3</v>
      </c>
      <c r="K56" s="1">
        <f t="shared" si="14"/>
        <v>39</v>
      </c>
      <c r="L56" s="32">
        <v>7.375</v>
      </c>
      <c r="M56" s="32">
        <f t="shared" si="16"/>
        <v>31.625</v>
      </c>
      <c r="N56" s="16">
        <v>5</v>
      </c>
      <c r="O56" s="2">
        <v>5</v>
      </c>
      <c r="P56" s="2">
        <v>5</v>
      </c>
      <c r="Q56" s="2">
        <v>6</v>
      </c>
      <c r="R56" s="16">
        <v>5</v>
      </c>
      <c r="S56" s="13">
        <v>5</v>
      </c>
      <c r="T56" s="10">
        <v>3</v>
      </c>
      <c r="U56" s="16">
        <v>4</v>
      </c>
      <c r="V56" s="2">
        <v>7</v>
      </c>
      <c r="W56" s="1">
        <f t="shared" si="15"/>
        <v>45</v>
      </c>
      <c r="X56" s="32">
        <v>7.375</v>
      </c>
      <c r="Y56" s="32">
        <f t="shared" si="17"/>
        <v>37.625</v>
      </c>
    </row>
    <row r="57" spans="1:25" x14ac:dyDescent="0.35">
      <c r="A57" s="1" t="s">
        <v>3</v>
      </c>
      <c r="B57" s="2">
        <v>5</v>
      </c>
      <c r="C57" s="2">
        <v>5</v>
      </c>
      <c r="D57" s="2">
        <v>5</v>
      </c>
      <c r="E57" s="2">
        <v>2</v>
      </c>
      <c r="F57" s="29">
        <v>5</v>
      </c>
      <c r="G57" s="2">
        <v>3</v>
      </c>
      <c r="H57" s="2">
        <v>9</v>
      </c>
      <c r="I57" s="16">
        <v>6</v>
      </c>
      <c r="J57" s="10">
        <v>4</v>
      </c>
      <c r="K57" s="1">
        <f t="shared" si="14"/>
        <v>44</v>
      </c>
      <c r="L57" s="32">
        <v>7.7596153846153868</v>
      </c>
      <c r="M57" s="32">
        <f t="shared" si="16"/>
        <v>36.240384615384613</v>
      </c>
      <c r="N57" s="16">
        <v>5</v>
      </c>
      <c r="O57" s="2">
        <v>4</v>
      </c>
      <c r="P57" s="2">
        <v>4</v>
      </c>
      <c r="Q57" s="2">
        <v>4</v>
      </c>
      <c r="R57" s="16">
        <v>4</v>
      </c>
      <c r="S57" s="13">
        <v>4</v>
      </c>
      <c r="T57" s="10">
        <v>4</v>
      </c>
      <c r="U57" s="16">
        <v>5</v>
      </c>
      <c r="V57" s="2">
        <v>5</v>
      </c>
      <c r="W57" s="1">
        <f t="shared" si="15"/>
        <v>39</v>
      </c>
      <c r="X57" s="32">
        <v>7.7596153846153868</v>
      </c>
      <c r="Y57" s="32">
        <f t="shared" si="17"/>
        <v>31.240384615384613</v>
      </c>
    </row>
    <row r="58" spans="1:25" x14ac:dyDescent="0.35">
      <c r="A58" s="1" t="s">
        <v>4</v>
      </c>
      <c r="B58" s="2">
        <v>5</v>
      </c>
      <c r="C58" s="2">
        <v>4</v>
      </c>
      <c r="D58" s="2">
        <v>5</v>
      </c>
      <c r="E58" s="2">
        <v>3</v>
      </c>
      <c r="F58" s="29">
        <v>5</v>
      </c>
      <c r="G58" s="2">
        <v>3</v>
      </c>
      <c r="H58" s="2">
        <v>6</v>
      </c>
      <c r="I58" s="16">
        <v>4</v>
      </c>
      <c r="J58" s="10">
        <v>2</v>
      </c>
      <c r="K58" s="1">
        <f t="shared" si="14"/>
        <v>37</v>
      </c>
      <c r="L58" s="32">
        <v>10.232142857142854</v>
      </c>
      <c r="M58" s="32">
        <f t="shared" si="16"/>
        <v>26.767857142857146</v>
      </c>
      <c r="N58" s="16">
        <v>7</v>
      </c>
      <c r="O58" s="2">
        <v>5</v>
      </c>
      <c r="P58" s="2">
        <v>4</v>
      </c>
      <c r="Q58" s="2">
        <v>6</v>
      </c>
      <c r="R58" s="16">
        <v>3</v>
      </c>
      <c r="S58" s="13">
        <v>5</v>
      </c>
      <c r="T58" s="10">
        <v>4</v>
      </c>
      <c r="U58" s="16">
        <v>3</v>
      </c>
      <c r="V58" s="2">
        <v>5</v>
      </c>
      <c r="W58" s="1">
        <f t="shared" si="15"/>
        <v>42</v>
      </c>
      <c r="X58" s="32">
        <v>10.232142857142854</v>
      </c>
      <c r="Y58" s="32">
        <f t="shared" si="17"/>
        <v>31.767857142857146</v>
      </c>
    </row>
    <row r="59" spans="1:25" x14ac:dyDescent="0.35">
      <c r="A59" s="1" t="s">
        <v>8</v>
      </c>
      <c r="B59" s="2">
        <v>7</v>
      </c>
      <c r="C59" s="2">
        <v>6</v>
      </c>
      <c r="D59" s="2">
        <v>6</v>
      </c>
      <c r="E59" s="2">
        <v>5</v>
      </c>
      <c r="F59" s="29">
        <v>4</v>
      </c>
      <c r="G59" s="2">
        <v>4</v>
      </c>
      <c r="H59" s="2">
        <v>7</v>
      </c>
      <c r="I59" s="16">
        <v>9</v>
      </c>
      <c r="J59" s="10">
        <v>4</v>
      </c>
      <c r="K59" s="1">
        <f t="shared" si="14"/>
        <v>52</v>
      </c>
      <c r="L59" s="32">
        <v>24.958333333333336</v>
      </c>
      <c r="M59" s="32">
        <f t="shared" si="16"/>
        <v>27.041666666666664</v>
      </c>
      <c r="N59" s="16">
        <v>8</v>
      </c>
      <c r="O59" s="2">
        <v>6</v>
      </c>
      <c r="P59" s="2">
        <v>5</v>
      </c>
      <c r="Q59" s="2">
        <v>5</v>
      </c>
      <c r="R59" s="16">
        <v>3</v>
      </c>
      <c r="S59" s="13">
        <v>6</v>
      </c>
      <c r="T59" s="10">
        <v>3</v>
      </c>
      <c r="U59" s="16">
        <v>7</v>
      </c>
      <c r="V59" s="2">
        <v>10</v>
      </c>
      <c r="W59" s="1">
        <f t="shared" si="15"/>
        <v>53</v>
      </c>
      <c r="X59" s="32">
        <v>24.958333333333336</v>
      </c>
      <c r="Y59" s="32">
        <f t="shared" si="17"/>
        <v>28.041666666666664</v>
      </c>
    </row>
    <row r="60" spans="1:25" x14ac:dyDescent="0.35">
      <c r="C60" s="22"/>
      <c r="E60" s="22"/>
      <c r="F60" s="30"/>
      <c r="G60" s="1" t="s">
        <v>99</v>
      </c>
      <c r="J60" s="9" t="s">
        <v>98</v>
      </c>
      <c r="P60" s="1" t="s">
        <v>100</v>
      </c>
      <c r="T60" s="9" t="s">
        <v>101</v>
      </c>
    </row>
  </sheetData>
  <mergeCells count="3">
    <mergeCell ref="A12:N12"/>
    <mergeCell ref="P12:Q12"/>
    <mergeCell ref="T12:Z12"/>
  </mergeCells>
  <pageMargins left="0.7" right="0.7" top="0.75" bottom="0.75" header="0.3" footer="0.3"/>
  <pageSetup orientation="portrait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0"/>
  <sheetViews>
    <sheetView workbookViewId="0">
      <selection activeCell="E4" sqref="E4"/>
    </sheetView>
  </sheetViews>
  <sheetFormatPr defaultRowHeight="14.5" x14ac:dyDescent="0.35"/>
  <cols>
    <col min="4" max="4" width="9.54296875" bestFit="1" customWidth="1"/>
  </cols>
  <sheetData>
    <row r="1" spans="1:5" x14ac:dyDescent="0.35">
      <c r="A1" s="44" t="s">
        <v>19</v>
      </c>
      <c r="B1" s="44"/>
      <c r="C1" s="44"/>
      <c r="D1" s="44"/>
      <c r="E1" s="44"/>
    </row>
    <row r="2" spans="1:5" x14ac:dyDescent="0.35">
      <c r="A2" s="1" t="s">
        <v>1</v>
      </c>
      <c r="B2" s="1" t="s">
        <v>12</v>
      </c>
      <c r="C2" s="1" t="s">
        <v>13</v>
      </c>
      <c r="D2" s="1" t="s">
        <v>16</v>
      </c>
      <c r="E2" s="1" t="s">
        <v>17</v>
      </c>
    </row>
    <row r="3" spans="1:5" x14ac:dyDescent="0.35">
      <c r="A3" s="1" t="s">
        <v>5</v>
      </c>
      <c r="B3" s="2">
        <f>Wk1and2!K5</f>
        <v>63</v>
      </c>
      <c r="C3" s="2">
        <f>Wk1and2!V5</f>
        <v>60</v>
      </c>
      <c r="D3" s="3">
        <f>(B3+C3)/2</f>
        <v>61.5</v>
      </c>
      <c r="E3" s="3">
        <f>D3-36</f>
        <v>25.5</v>
      </c>
    </row>
    <row r="4" spans="1:5" x14ac:dyDescent="0.35">
      <c r="A4" s="1" t="s">
        <v>6</v>
      </c>
      <c r="B4" s="2">
        <f>Wk1and2!K7</f>
        <v>43</v>
      </c>
      <c r="C4" s="2">
        <f>Wk1and2!V7</f>
        <v>50</v>
      </c>
      <c r="D4" s="3">
        <f t="shared" ref="D4:D10" si="0">(B4+C4)/2</f>
        <v>46.5</v>
      </c>
      <c r="E4" s="3">
        <f t="shared" ref="E4:E10" si="1">D4-36</f>
        <v>10.5</v>
      </c>
    </row>
    <row r="5" spans="1:5" x14ac:dyDescent="0.35">
      <c r="A5" s="1" t="s">
        <v>7</v>
      </c>
      <c r="B5" s="2">
        <f>Wk1and2!K9</f>
        <v>42</v>
      </c>
      <c r="C5" s="2">
        <f>Wk1and2!V9</f>
        <v>44</v>
      </c>
      <c r="D5" s="3">
        <f t="shared" si="0"/>
        <v>43</v>
      </c>
      <c r="E5" s="3">
        <f t="shared" si="1"/>
        <v>7</v>
      </c>
    </row>
    <row r="6" spans="1:5" x14ac:dyDescent="0.35">
      <c r="A6" s="1" t="s">
        <v>0</v>
      </c>
      <c r="B6" s="2">
        <f>Wk1and2!K11</f>
        <v>59</v>
      </c>
      <c r="C6" s="2">
        <f>Wk1and2!V11</f>
        <v>57</v>
      </c>
      <c r="D6" s="3">
        <f t="shared" si="0"/>
        <v>58</v>
      </c>
      <c r="E6" s="3">
        <f t="shared" si="1"/>
        <v>22</v>
      </c>
    </row>
    <row r="7" spans="1:5" x14ac:dyDescent="0.35">
      <c r="A7" s="1" t="s">
        <v>2</v>
      </c>
      <c r="B7" s="2">
        <f>Wk1and2!K13</f>
        <v>52</v>
      </c>
      <c r="C7" s="2">
        <f>Wk1and2!V13</f>
        <v>45</v>
      </c>
      <c r="D7" s="3">
        <f t="shared" si="0"/>
        <v>48.5</v>
      </c>
      <c r="E7" s="3">
        <f t="shared" si="1"/>
        <v>12.5</v>
      </c>
    </row>
    <row r="8" spans="1:5" x14ac:dyDescent="0.35">
      <c r="A8" s="1" t="s">
        <v>3</v>
      </c>
      <c r="B8" s="2">
        <f>Wk1and2!K15</f>
        <v>45</v>
      </c>
      <c r="C8" s="2">
        <f>Wk1and2!V15</f>
        <v>51</v>
      </c>
      <c r="D8" s="3">
        <f t="shared" si="0"/>
        <v>48</v>
      </c>
      <c r="E8" s="3">
        <f t="shared" si="1"/>
        <v>12</v>
      </c>
    </row>
    <row r="9" spans="1:5" x14ac:dyDescent="0.35">
      <c r="A9" s="1" t="s">
        <v>4</v>
      </c>
      <c r="B9" s="2">
        <f>Wk1and2!K17</f>
        <v>47</v>
      </c>
      <c r="C9" s="2">
        <f>Wk1and2!V17</f>
        <v>50</v>
      </c>
      <c r="D9" s="3">
        <f t="shared" si="0"/>
        <v>48.5</v>
      </c>
      <c r="E9" s="3">
        <f t="shared" si="1"/>
        <v>12.5</v>
      </c>
    </row>
    <row r="10" spans="1:5" x14ac:dyDescent="0.35">
      <c r="A10" s="1" t="s">
        <v>8</v>
      </c>
      <c r="B10" s="2">
        <v>59</v>
      </c>
      <c r="C10" s="2">
        <f>Wk1and2!V19</f>
        <v>59</v>
      </c>
      <c r="D10" s="3">
        <f t="shared" si="0"/>
        <v>59</v>
      </c>
      <c r="E10" s="3">
        <f t="shared" si="1"/>
        <v>23</v>
      </c>
    </row>
  </sheetData>
  <mergeCells count="1">
    <mergeCell ref="A1:E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19"/>
  <sheetViews>
    <sheetView zoomScale="71" zoomScaleNormal="100" workbookViewId="0">
      <selection activeCell="L14" sqref="L14"/>
    </sheetView>
  </sheetViews>
  <sheetFormatPr defaultRowHeight="14.5" x14ac:dyDescent="0.35"/>
  <cols>
    <col min="1" max="1" width="18.26953125" bestFit="1" customWidth="1"/>
  </cols>
  <sheetData>
    <row r="1" spans="1:23" x14ac:dyDescent="0.35">
      <c r="A1" s="1" t="s">
        <v>10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 t="s">
        <v>9</v>
      </c>
      <c r="L1" s="1" t="s">
        <v>14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 t="s">
        <v>9</v>
      </c>
      <c r="W1" s="1" t="s">
        <v>14</v>
      </c>
    </row>
    <row r="2" spans="1:23" x14ac:dyDescent="0.35">
      <c r="A2" s="1" t="s">
        <v>15</v>
      </c>
      <c r="B2" s="1">
        <v>4</v>
      </c>
      <c r="C2" s="1">
        <v>3</v>
      </c>
      <c r="D2" s="1">
        <v>4</v>
      </c>
      <c r="E2" s="1">
        <v>5</v>
      </c>
      <c r="F2" s="1">
        <v>3</v>
      </c>
      <c r="G2" s="1">
        <v>4</v>
      </c>
      <c r="H2" s="1">
        <v>4</v>
      </c>
      <c r="I2" s="1">
        <v>5</v>
      </c>
      <c r="J2" s="1">
        <v>4</v>
      </c>
      <c r="K2" s="1">
        <f>SUM(B2:J2)</f>
        <v>36</v>
      </c>
      <c r="L2" s="1"/>
      <c r="M2" s="1">
        <v>3</v>
      </c>
      <c r="N2" s="1">
        <v>4</v>
      </c>
      <c r="O2" s="1">
        <v>4</v>
      </c>
      <c r="P2" s="1">
        <v>5</v>
      </c>
      <c r="Q2" s="1">
        <v>4</v>
      </c>
      <c r="R2" s="1">
        <v>4</v>
      </c>
      <c r="S2" s="1">
        <v>3</v>
      </c>
      <c r="T2" s="1">
        <v>4</v>
      </c>
      <c r="U2" s="1">
        <v>5</v>
      </c>
      <c r="V2" s="1">
        <f>SUM(M2:U2)</f>
        <v>36</v>
      </c>
      <c r="W2" s="4"/>
    </row>
    <row r="3" spans="1:23" x14ac:dyDescent="0.35">
      <c r="A3" s="1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 spans="1:23" x14ac:dyDescent="0.35">
      <c r="A4" s="1" t="s">
        <v>5</v>
      </c>
      <c r="B4" s="2">
        <v>7</v>
      </c>
      <c r="C4" s="2">
        <v>4</v>
      </c>
      <c r="D4" s="2">
        <v>7</v>
      </c>
      <c r="E4" s="2">
        <v>9</v>
      </c>
      <c r="F4" s="2">
        <v>7</v>
      </c>
      <c r="G4" s="2">
        <v>8</v>
      </c>
      <c r="H4" s="2">
        <v>8</v>
      </c>
      <c r="I4" s="2">
        <v>8</v>
      </c>
      <c r="J4" s="2">
        <v>6</v>
      </c>
      <c r="K4" s="1">
        <f t="shared" ref="K4:K19" si="0">SUM(B4:J4)</f>
        <v>64</v>
      </c>
      <c r="L4" s="1"/>
      <c r="M4" s="2">
        <v>5</v>
      </c>
      <c r="N4" s="2">
        <v>6</v>
      </c>
      <c r="O4" s="2">
        <v>7</v>
      </c>
      <c r="P4" s="2">
        <v>9</v>
      </c>
      <c r="Q4" s="2">
        <v>7</v>
      </c>
      <c r="R4" s="2">
        <v>9</v>
      </c>
      <c r="S4" s="2">
        <v>4</v>
      </c>
      <c r="T4" s="2">
        <v>6</v>
      </c>
      <c r="U4" s="2">
        <v>8</v>
      </c>
      <c r="V4" s="1">
        <f t="shared" ref="V4:V19" si="1">SUM(M4:U4)</f>
        <v>61</v>
      </c>
      <c r="W4" s="4"/>
    </row>
    <row r="5" spans="1:23" x14ac:dyDescent="0.35">
      <c r="A5" s="2" t="s">
        <v>11</v>
      </c>
      <c r="B5" s="1">
        <f t="shared" ref="B5:J5" si="2">IF(B4&gt;B2*2,B2*2,B4)</f>
        <v>7</v>
      </c>
      <c r="C5" s="1">
        <f t="shared" si="2"/>
        <v>4</v>
      </c>
      <c r="D5" s="1">
        <f t="shared" si="2"/>
        <v>7</v>
      </c>
      <c r="E5" s="1">
        <f t="shared" si="2"/>
        <v>9</v>
      </c>
      <c r="F5" s="1">
        <f t="shared" si="2"/>
        <v>6</v>
      </c>
      <c r="G5" s="1">
        <f t="shared" si="2"/>
        <v>8</v>
      </c>
      <c r="H5" s="1">
        <f t="shared" si="2"/>
        <v>8</v>
      </c>
      <c r="I5" s="1">
        <f t="shared" si="2"/>
        <v>8</v>
      </c>
      <c r="J5" s="1">
        <f t="shared" si="2"/>
        <v>6</v>
      </c>
      <c r="K5" s="1">
        <f t="shared" si="0"/>
        <v>63</v>
      </c>
      <c r="L5" s="1">
        <f>K5-K2</f>
        <v>27</v>
      </c>
      <c r="M5" s="1">
        <f t="shared" ref="M5:U5" si="3">IF(M4&gt;M2*2,M2*2,M4)</f>
        <v>5</v>
      </c>
      <c r="N5" s="1">
        <f t="shared" si="3"/>
        <v>6</v>
      </c>
      <c r="O5" s="1">
        <f t="shared" si="3"/>
        <v>7</v>
      </c>
      <c r="P5" s="1">
        <f t="shared" si="3"/>
        <v>9</v>
      </c>
      <c r="Q5" s="1">
        <f t="shared" si="3"/>
        <v>7</v>
      </c>
      <c r="R5" s="1">
        <f t="shared" si="3"/>
        <v>8</v>
      </c>
      <c r="S5" s="1">
        <f t="shared" si="3"/>
        <v>4</v>
      </c>
      <c r="T5" s="1">
        <f t="shared" si="3"/>
        <v>6</v>
      </c>
      <c r="U5" s="1">
        <f t="shared" si="3"/>
        <v>8</v>
      </c>
      <c r="V5" s="1">
        <f t="shared" si="1"/>
        <v>60</v>
      </c>
      <c r="W5" s="4">
        <f>V5-V2</f>
        <v>24</v>
      </c>
    </row>
    <row r="6" spans="1:23" x14ac:dyDescent="0.35">
      <c r="A6" s="1" t="s">
        <v>6</v>
      </c>
      <c r="B6" s="2">
        <v>5</v>
      </c>
      <c r="C6" s="2">
        <v>2</v>
      </c>
      <c r="D6" s="2">
        <v>5</v>
      </c>
      <c r="E6" s="2">
        <v>6</v>
      </c>
      <c r="F6" s="2">
        <v>3</v>
      </c>
      <c r="G6" s="2">
        <v>5</v>
      </c>
      <c r="H6" s="2">
        <v>4</v>
      </c>
      <c r="I6" s="2">
        <v>7</v>
      </c>
      <c r="J6" s="2">
        <v>6</v>
      </c>
      <c r="K6" s="1">
        <f t="shared" si="0"/>
        <v>43</v>
      </c>
      <c r="L6" s="1"/>
      <c r="M6" s="2">
        <v>4</v>
      </c>
      <c r="N6" s="2">
        <v>5</v>
      </c>
      <c r="O6" s="2">
        <v>6</v>
      </c>
      <c r="P6" s="2">
        <v>5</v>
      </c>
      <c r="Q6" s="2">
        <v>6</v>
      </c>
      <c r="R6" s="2">
        <v>6</v>
      </c>
      <c r="S6" s="2">
        <v>6</v>
      </c>
      <c r="T6" s="2">
        <v>6</v>
      </c>
      <c r="U6" s="2">
        <v>6</v>
      </c>
      <c r="V6" s="1">
        <f t="shared" si="1"/>
        <v>50</v>
      </c>
      <c r="W6" s="4"/>
    </row>
    <row r="7" spans="1:23" x14ac:dyDescent="0.35">
      <c r="A7" s="2" t="s">
        <v>11</v>
      </c>
      <c r="B7" s="1">
        <f t="shared" ref="B7:J7" si="4">IF(B6&gt;B2*2,B2*2,B6)</f>
        <v>5</v>
      </c>
      <c r="C7" s="1">
        <f t="shared" si="4"/>
        <v>2</v>
      </c>
      <c r="D7" s="1">
        <f t="shared" si="4"/>
        <v>5</v>
      </c>
      <c r="E7" s="1">
        <f t="shared" si="4"/>
        <v>6</v>
      </c>
      <c r="F7" s="1">
        <f t="shared" si="4"/>
        <v>3</v>
      </c>
      <c r="G7" s="1">
        <f t="shared" si="4"/>
        <v>5</v>
      </c>
      <c r="H7" s="1">
        <f t="shared" si="4"/>
        <v>4</v>
      </c>
      <c r="I7" s="1">
        <f t="shared" si="4"/>
        <v>7</v>
      </c>
      <c r="J7" s="1">
        <f t="shared" si="4"/>
        <v>6</v>
      </c>
      <c r="K7" s="1">
        <f t="shared" si="0"/>
        <v>43</v>
      </c>
      <c r="L7" s="1">
        <f>K7-K2</f>
        <v>7</v>
      </c>
      <c r="M7" s="1">
        <f t="shared" ref="M7:U7" si="5">IF(M6&gt;M2*2,M2*2,M6)</f>
        <v>4</v>
      </c>
      <c r="N7" s="1">
        <f t="shared" si="5"/>
        <v>5</v>
      </c>
      <c r="O7" s="1">
        <f t="shared" si="5"/>
        <v>6</v>
      </c>
      <c r="P7" s="1">
        <f t="shared" si="5"/>
        <v>5</v>
      </c>
      <c r="Q7" s="1">
        <f t="shared" si="5"/>
        <v>6</v>
      </c>
      <c r="R7" s="1">
        <f t="shared" si="5"/>
        <v>6</v>
      </c>
      <c r="S7" s="1">
        <f t="shared" si="5"/>
        <v>6</v>
      </c>
      <c r="T7" s="1">
        <f t="shared" si="5"/>
        <v>6</v>
      </c>
      <c r="U7" s="1">
        <f t="shared" si="5"/>
        <v>6</v>
      </c>
      <c r="V7" s="1">
        <f t="shared" si="1"/>
        <v>50</v>
      </c>
      <c r="W7" s="4">
        <f>V7-V2</f>
        <v>14</v>
      </c>
    </row>
    <row r="8" spans="1:23" x14ac:dyDescent="0.35">
      <c r="A8" s="1" t="s">
        <v>7</v>
      </c>
      <c r="B8" s="2">
        <v>5</v>
      </c>
      <c r="C8" s="2">
        <v>4</v>
      </c>
      <c r="D8" s="2">
        <v>3</v>
      </c>
      <c r="E8" s="2">
        <v>5</v>
      </c>
      <c r="F8" s="2">
        <v>3</v>
      </c>
      <c r="G8" s="2">
        <v>6</v>
      </c>
      <c r="H8" s="2">
        <v>4</v>
      </c>
      <c r="I8" s="2">
        <v>7</v>
      </c>
      <c r="J8" s="2">
        <v>5</v>
      </c>
      <c r="K8" s="1">
        <f t="shared" si="0"/>
        <v>42</v>
      </c>
      <c r="L8" s="1"/>
      <c r="M8" s="2">
        <v>5</v>
      </c>
      <c r="N8" s="2">
        <v>5</v>
      </c>
      <c r="O8" s="2">
        <v>4</v>
      </c>
      <c r="P8" s="2">
        <v>6</v>
      </c>
      <c r="Q8" s="2">
        <v>5</v>
      </c>
      <c r="R8" s="2">
        <v>5</v>
      </c>
      <c r="S8" s="2">
        <v>3</v>
      </c>
      <c r="T8" s="2">
        <v>5</v>
      </c>
      <c r="U8" s="2">
        <v>6</v>
      </c>
      <c r="V8" s="1">
        <f t="shared" si="1"/>
        <v>44</v>
      </c>
      <c r="W8" s="4"/>
    </row>
    <row r="9" spans="1:23" x14ac:dyDescent="0.35">
      <c r="A9" s="2" t="s">
        <v>11</v>
      </c>
      <c r="B9" s="1">
        <f t="shared" ref="B9:J9" si="6">IF(B8&gt;B2*2,B2*2,B8)</f>
        <v>5</v>
      </c>
      <c r="C9" s="1">
        <f t="shared" si="6"/>
        <v>4</v>
      </c>
      <c r="D9" s="1">
        <f t="shared" si="6"/>
        <v>3</v>
      </c>
      <c r="E9" s="1">
        <f t="shared" si="6"/>
        <v>5</v>
      </c>
      <c r="F9" s="1">
        <f t="shared" si="6"/>
        <v>3</v>
      </c>
      <c r="G9" s="1">
        <f t="shared" si="6"/>
        <v>6</v>
      </c>
      <c r="H9" s="1">
        <f t="shared" si="6"/>
        <v>4</v>
      </c>
      <c r="I9" s="1">
        <f t="shared" si="6"/>
        <v>7</v>
      </c>
      <c r="J9" s="1">
        <f t="shared" si="6"/>
        <v>5</v>
      </c>
      <c r="K9" s="1">
        <f t="shared" si="0"/>
        <v>42</v>
      </c>
      <c r="L9" s="1">
        <f>K9-K2</f>
        <v>6</v>
      </c>
      <c r="M9" s="1">
        <f t="shared" ref="M9:U9" si="7">IF(M8&gt;M2*2,M2*2,M8)</f>
        <v>5</v>
      </c>
      <c r="N9" s="1">
        <f t="shared" si="7"/>
        <v>5</v>
      </c>
      <c r="O9" s="1">
        <f t="shared" si="7"/>
        <v>4</v>
      </c>
      <c r="P9" s="1">
        <f t="shared" si="7"/>
        <v>6</v>
      </c>
      <c r="Q9" s="1">
        <f t="shared" si="7"/>
        <v>5</v>
      </c>
      <c r="R9" s="1">
        <f t="shared" si="7"/>
        <v>5</v>
      </c>
      <c r="S9" s="1">
        <f t="shared" si="7"/>
        <v>3</v>
      </c>
      <c r="T9" s="1">
        <f t="shared" si="7"/>
        <v>5</v>
      </c>
      <c r="U9" s="1">
        <f t="shared" si="7"/>
        <v>6</v>
      </c>
      <c r="V9" s="1">
        <f t="shared" si="1"/>
        <v>44</v>
      </c>
      <c r="W9" s="4">
        <f>V9-V2</f>
        <v>8</v>
      </c>
    </row>
    <row r="10" spans="1:23" x14ac:dyDescent="0.35">
      <c r="A10" s="1" t="s">
        <v>0</v>
      </c>
      <c r="B10" s="2">
        <v>8</v>
      </c>
      <c r="C10" s="2">
        <v>4</v>
      </c>
      <c r="D10" s="2">
        <v>5</v>
      </c>
      <c r="E10" s="2">
        <v>10</v>
      </c>
      <c r="F10" s="2">
        <v>7</v>
      </c>
      <c r="G10" s="2">
        <v>5</v>
      </c>
      <c r="H10" s="2">
        <v>9</v>
      </c>
      <c r="I10" s="2">
        <v>5</v>
      </c>
      <c r="J10" s="2">
        <v>9</v>
      </c>
      <c r="K10" s="1">
        <f t="shared" si="0"/>
        <v>62</v>
      </c>
      <c r="L10" s="1"/>
      <c r="M10" s="2">
        <v>7</v>
      </c>
      <c r="N10" s="2">
        <v>6</v>
      </c>
      <c r="O10" s="2">
        <v>6</v>
      </c>
      <c r="P10" s="2">
        <v>6</v>
      </c>
      <c r="Q10" s="2">
        <v>7</v>
      </c>
      <c r="R10" s="2">
        <v>8</v>
      </c>
      <c r="S10" s="2">
        <v>4</v>
      </c>
      <c r="T10" s="2">
        <v>6</v>
      </c>
      <c r="U10" s="2">
        <v>8</v>
      </c>
      <c r="V10" s="1">
        <f t="shared" si="1"/>
        <v>58</v>
      </c>
      <c r="W10" s="4"/>
    </row>
    <row r="11" spans="1:23" x14ac:dyDescent="0.35">
      <c r="A11" s="2" t="s">
        <v>11</v>
      </c>
      <c r="B11" s="1">
        <f t="shared" ref="B11:J11" si="8">IF(B10&gt;B2*2,B2*2,B10)</f>
        <v>8</v>
      </c>
      <c r="C11" s="1">
        <f t="shared" si="8"/>
        <v>4</v>
      </c>
      <c r="D11" s="1">
        <f t="shared" si="8"/>
        <v>5</v>
      </c>
      <c r="E11" s="1">
        <f t="shared" si="8"/>
        <v>10</v>
      </c>
      <c r="F11" s="1">
        <f t="shared" si="8"/>
        <v>6</v>
      </c>
      <c r="G11" s="1">
        <f t="shared" si="8"/>
        <v>5</v>
      </c>
      <c r="H11" s="1">
        <f t="shared" si="8"/>
        <v>8</v>
      </c>
      <c r="I11" s="1">
        <f t="shared" si="8"/>
        <v>5</v>
      </c>
      <c r="J11" s="1">
        <f t="shared" si="8"/>
        <v>8</v>
      </c>
      <c r="K11" s="1">
        <f t="shared" si="0"/>
        <v>59</v>
      </c>
      <c r="L11" s="1">
        <f>K11-K2</f>
        <v>23</v>
      </c>
      <c r="M11" s="1">
        <f t="shared" ref="M11:U11" si="9">IF(M10&gt;M2*2,M2*2,M10)</f>
        <v>6</v>
      </c>
      <c r="N11" s="1">
        <f t="shared" si="9"/>
        <v>6</v>
      </c>
      <c r="O11" s="1">
        <f t="shared" si="9"/>
        <v>6</v>
      </c>
      <c r="P11" s="1">
        <f t="shared" si="9"/>
        <v>6</v>
      </c>
      <c r="Q11" s="1">
        <f t="shared" si="9"/>
        <v>7</v>
      </c>
      <c r="R11" s="1">
        <f t="shared" si="9"/>
        <v>8</v>
      </c>
      <c r="S11" s="1">
        <f t="shared" si="9"/>
        <v>4</v>
      </c>
      <c r="T11" s="1">
        <f t="shared" si="9"/>
        <v>6</v>
      </c>
      <c r="U11" s="1">
        <f t="shared" si="9"/>
        <v>8</v>
      </c>
      <c r="V11" s="1">
        <f t="shared" si="1"/>
        <v>57</v>
      </c>
      <c r="W11" s="4">
        <f>V11-V2</f>
        <v>21</v>
      </c>
    </row>
    <row r="12" spans="1:23" x14ac:dyDescent="0.35">
      <c r="A12" s="1" t="s">
        <v>2</v>
      </c>
      <c r="B12" s="2">
        <v>6</v>
      </c>
      <c r="C12" s="2">
        <v>6</v>
      </c>
      <c r="D12" s="2">
        <v>4</v>
      </c>
      <c r="E12" s="2">
        <v>6</v>
      </c>
      <c r="F12" s="2">
        <v>5</v>
      </c>
      <c r="G12" s="2">
        <v>7</v>
      </c>
      <c r="H12" s="2">
        <v>5</v>
      </c>
      <c r="I12" s="2">
        <v>7</v>
      </c>
      <c r="J12" s="2">
        <v>6</v>
      </c>
      <c r="K12" s="1">
        <f t="shared" si="0"/>
        <v>52</v>
      </c>
      <c r="L12" s="1"/>
      <c r="M12" s="2">
        <v>4</v>
      </c>
      <c r="N12" s="2">
        <v>6</v>
      </c>
      <c r="O12" s="2">
        <v>6</v>
      </c>
      <c r="P12" s="2">
        <v>5</v>
      </c>
      <c r="Q12" s="2">
        <v>5</v>
      </c>
      <c r="R12" s="2">
        <v>5</v>
      </c>
      <c r="S12" s="2">
        <v>4</v>
      </c>
      <c r="T12" s="2">
        <v>5</v>
      </c>
      <c r="U12" s="2">
        <v>5</v>
      </c>
      <c r="V12" s="1">
        <f t="shared" si="1"/>
        <v>45</v>
      </c>
      <c r="W12" s="4"/>
    </row>
    <row r="13" spans="1:23" x14ac:dyDescent="0.35">
      <c r="A13" s="2" t="s">
        <v>11</v>
      </c>
      <c r="B13" s="1">
        <f t="shared" ref="B13:J13" si="10">IF(B12&gt;B2*2,B2*2,B12)</f>
        <v>6</v>
      </c>
      <c r="C13" s="1">
        <f t="shared" si="10"/>
        <v>6</v>
      </c>
      <c r="D13" s="1">
        <f t="shared" si="10"/>
        <v>4</v>
      </c>
      <c r="E13" s="1">
        <f t="shared" si="10"/>
        <v>6</v>
      </c>
      <c r="F13" s="1">
        <f t="shared" si="10"/>
        <v>5</v>
      </c>
      <c r="G13" s="1">
        <f t="shared" si="10"/>
        <v>7</v>
      </c>
      <c r="H13" s="1">
        <f t="shared" si="10"/>
        <v>5</v>
      </c>
      <c r="I13" s="1">
        <f t="shared" si="10"/>
        <v>7</v>
      </c>
      <c r="J13" s="1">
        <f t="shared" si="10"/>
        <v>6</v>
      </c>
      <c r="K13" s="1">
        <f t="shared" si="0"/>
        <v>52</v>
      </c>
      <c r="L13" s="1">
        <f>K13-K2</f>
        <v>16</v>
      </c>
      <c r="M13" s="1">
        <f t="shared" ref="M13:U13" si="11">IF(M12&gt;M2*2,M2*2,M12)</f>
        <v>4</v>
      </c>
      <c r="N13" s="1">
        <f t="shared" si="11"/>
        <v>6</v>
      </c>
      <c r="O13" s="1">
        <f t="shared" si="11"/>
        <v>6</v>
      </c>
      <c r="P13" s="1">
        <f t="shared" si="11"/>
        <v>5</v>
      </c>
      <c r="Q13" s="1">
        <f t="shared" si="11"/>
        <v>5</v>
      </c>
      <c r="R13" s="1">
        <f t="shared" si="11"/>
        <v>5</v>
      </c>
      <c r="S13" s="1">
        <f t="shared" si="11"/>
        <v>4</v>
      </c>
      <c r="T13" s="1">
        <f t="shared" si="11"/>
        <v>5</v>
      </c>
      <c r="U13" s="1">
        <f t="shared" si="11"/>
        <v>5</v>
      </c>
      <c r="V13" s="1">
        <f t="shared" si="1"/>
        <v>45</v>
      </c>
      <c r="W13" s="4">
        <f>V13-V2</f>
        <v>9</v>
      </c>
    </row>
    <row r="14" spans="1:23" x14ac:dyDescent="0.35">
      <c r="A14" s="1" t="s">
        <v>3</v>
      </c>
      <c r="B14" s="2">
        <v>5</v>
      </c>
      <c r="C14" s="2">
        <v>4</v>
      </c>
      <c r="D14" s="2">
        <v>4</v>
      </c>
      <c r="E14" s="2">
        <v>6</v>
      </c>
      <c r="F14" s="2">
        <v>3</v>
      </c>
      <c r="G14" s="2">
        <v>5</v>
      </c>
      <c r="H14" s="2">
        <v>6</v>
      </c>
      <c r="I14" s="2">
        <v>6</v>
      </c>
      <c r="J14" s="2">
        <v>6</v>
      </c>
      <c r="K14" s="1">
        <f t="shared" si="0"/>
        <v>45</v>
      </c>
      <c r="L14" s="1"/>
      <c r="M14" s="2">
        <v>4</v>
      </c>
      <c r="N14" s="2">
        <v>6</v>
      </c>
      <c r="O14" s="2">
        <v>5</v>
      </c>
      <c r="P14" s="2">
        <v>6</v>
      </c>
      <c r="Q14" s="2">
        <v>5</v>
      </c>
      <c r="R14" s="2">
        <v>5</v>
      </c>
      <c r="S14" s="2">
        <v>6</v>
      </c>
      <c r="T14" s="2">
        <v>7</v>
      </c>
      <c r="U14" s="2">
        <v>7</v>
      </c>
      <c r="V14" s="1">
        <f t="shared" si="1"/>
        <v>51</v>
      </c>
      <c r="W14" s="4"/>
    </row>
    <row r="15" spans="1:23" x14ac:dyDescent="0.35">
      <c r="A15" s="2" t="s">
        <v>11</v>
      </c>
      <c r="B15" s="1">
        <f t="shared" ref="B15:J15" si="12">IF(B14&gt;B2*2,B2*2,B14)</f>
        <v>5</v>
      </c>
      <c r="C15" s="1">
        <f t="shared" si="12"/>
        <v>4</v>
      </c>
      <c r="D15" s="1">
        <f t="shared" si="12"/>
        <v>4</v>
      </c>
      <c r="E15" s="1">
        <f t="shared" si="12"/>
        <v>6</v>
      </c>
      <c r="F15" s="1">
        <f t="shared" si="12"/>
        <v>3</v>
      </c>
      <c r="G15" s="1">
        <f t="shared" si="12"/>
        <v>5</v>
      </c>
      <c r="H15" s="1">
        <f t="shared" si="12"/>
        <v>6</v>
      </c>
      <c r="I15" s="1">
        <f t="shared" si="12"/>
        <v>6</v>
      </c>
      <c r="J15" s="1">
        <f t="shared" si="12"/>
        <v>6</v>
      </c>
      <c r="K15" s="1">
        <f t="shared" si="0"/>
        <v>45</v>
      </c>
      <c r="L15" s="1">
        <f>K15-K2</f>
        <v>9</v>
      </c>
      <c r="M15" s="1">
        <f t="shared" ref="M15:U15" si="13">IF(M14&gt;M2*2,M2*2,M14)</f>
        <v>4</v>
      </c>
      <c r="N15" s="1">
        <f t="shared" si="13"/>
        <v>6</v>
      </c>
      <c r="O15" s="1">
        <f t="shared" si="13"/>
        <v>5</v>
      </c>
      <c r="P15" s="1">
        <f t="shared" si="13"/>
        <v>6</v>
      </c>
      <c r="Q15" s="1">
        <f t="shared" si="13"/>
        <v>5</v>
      </c>
      <c r="R15" s="1">
        <f t="shared" si="13"/>
        <v>5</v>
      </c>
      <c r="S15" s="1">
        <f t="shared" si="13"/>
        <v>6</v>
      </c>
      <c r="T15" s="1">
        <f t="shared" si="13"/>
        <v>7</v>
      </c>
      <c r="U15" s="1">
        <f t="shared" si="13"/>
        <v>7</v>
      </c>
      <c r="V15" s="1">
        <f t="shared" si="1"/>
        <v>51</v>
      </c>
      <c r="W15" s="4">
        <f>V15-V2</f>
        <v>15</v>
      </c>
    </row>
    <row r="16" spans="1:23" x14ac:dyDescent="0.35">
      <c r="A16" s="1" t="s">
        <v>4</v>
      </c>
      <c r="B16" s="2">
        <v>5</v>
      </c>
      <c r="C16" s="2">
        <v>4</v>
      </c>
      <c r="D16" s="2">
        <v>5</v>
      </c>
      <c r="E16" s="2">
        <v>5</v>
      </c>
      <c r="F16" s="2">
        <v>4</v>
      </c>
      <c r="G16" s="2">
        <v>6</v>
      </c>
      <c r="H16" s="2">
        <v>4</v>
      </c>
      <c r="I16" s="2">
        <v>8</v>
      </c>
      <c r="J16" s="2">
        <v>6</v>
      </c>
      <c r="K16" s="1">
        <f t="shared" si="0"/>
        <v>47</v>
      </c>
      <c r="L16" s="1"/>
      <c r="M16" s="2">
        <v>5</v>
      </c>
      <c r="N16" s="2">
        <v>5</v>
      </c>
      <c r="O16" s="2">
        <v>5</v>
      </c>
      <c r="P16" s="2">
        <v>7</v>
      </c>
      <c r="Q16" s="2">
        <v>5</v>
      </c>
      <c r="R16" s="2">
        <v>6</v>
      </c>
      <c r="S16" s="2">
        <v>5</v>
      </c>
      <c r="T16" s="2">
        <v>6</v>
      </c>
      <c r="U16" s="2">
        <v>6</v>
      </c>
      <c r="V16" s="1">
        <f t="shared" si="1"/>
        <v>50</v>
      </c>
      <c r="W16" s="4"/>
    </row>
    <row r="17" spans="1:23" x14ac:dyDescent="0.35">
      <c r="A17" s="2" t="s">
        <v>11</v>
      </c>
      <c r="B17" s="1">
        <f t="shared" ref="B17:J17" si="14">IF(B16&gt;B2*2,B2*2,B16)</f>
        <v>5</v>
      </c>
      <c r="C17" s="1">
        <f t="shared" si="14"/>
        <v>4</v>
      </c>
      <c r="D17" s="1">
        <f t="shared" si="14"/>
        <v>5</v>
      </c>
      <c r="E17" s="1">
        <f t="shared" si="14"/>
        <v>5</v>
      </c>
      <c r="F17" s="1">
        <f t="shared" si="14"/>
        <v>4</v>
      </c>
      <c r="G17" s="1">
        <f t="shared" si="14"/>
        <v>6</v>
      </c>
      <c r="H17" s="1">
        <f t="shared" si="14"/>
        <v>4</v>
      </c>
      <c r="I17" s="1">
        <f t="shared" si="14"/>
        <v>8</v>
      </c>
      <c r="J17" s="1">
        <f t="shared" si="14"/>
        <v>6</v>
      </c>
      <c r="K17" s="1">
        <f t="shared" si="0"/>
        <v>47</v>
      </c>
      <c r="L17" s="1">
        <f>K17-K2</f>
        <v>11</v>
      </c>
      <c r="M17" s="1">
        <f t="shared" ref="M17:U17" si="15">IF(M16&gt;M2*2,M2*2,M16)</f>
        <v>5</v>
      </c>
      <c r="N17" s="1">
        <f t="shared" si="15"/>
        <v>5</v>
      </c>
      <c r="O17" s="1">
        <f t="shared" si="15"/>
        <v>5</v>
      </c>
      <c r="P17" s="1">
        <f t="shared" si="15"/>
        <v>7</v>
      </c>
      <c r="Q17" s="1">
        <f t="shared" si="15"/>
        <v>5</v>
      </c>
      <c r="R17" s="1">
        <f t="shared" si="15"/>
        <v>6</v>
      </c>
      <c r="S17" s="1">
        <f t="shared" si="15"/>
        <v>5</v>
      </c>
      <c r="T17" s="1">
        <f t="shared" si="15"/>
        <v>6</v>
      </c>
      <c r="U17" s="1">
        <f t="shared" si="15"/>
        <v>6</v>
      </c>
      <c r="V17" s="1">
        <f t="shared" si="1"/>
        <v>50</v>
      </c>
      <c r="W17" s="4">
        <f>V17-V2</f>
        <v>14</v>
      </c>
    </row>
    <row r="18" spans="1:23" x14ac:dyDescent="0.35">
      <c r="A18" s="1" t="s">
        <v>8</v>
      </c>
      <c r="B18" s="2"/>
      <c r="C18" s="2"/>
      <c r="D18" s="2"/>
      <c r="E18" s="2"/>
      <c r="F18" s="2"/>
      <c r="G18" s="2"/>
      <c r="H18" s="2"/>
      <c r="I18" s="2"/>
      <c r="J18" s="2"/>
      <c r="K18" s="1">
        <f t="shared" si="0"/>
        <v>0</v>
      </c>
      <c r="L18" s="1"/>
      <c r="M18" s="2">
        <v>4</v>
      </c>
      <c r="N18" s="2">
        <v>7</v>
      </c>
      <c r="O18" s="2">
        <v>6</v>
      </c>
      <c r="P18" s="2">
        <v>7</v>
      </c>
      <c r="Q18" s="2">
        <v>7</v>
      </c>
      <c r="R18" s="2">
        <v>8</v>
      </c>
      <c r="S18" s="2">
        <v>4</v>
      </c>
      <c r="T18" s="2">
        <v>6</v>
      </c>
      <c r="U18" s="2">
        <v>20</v>
      </c>
      <c r="V18" s="1">
        <f t="shared" si="1"/>
        <v>69</v>
      </c>
      <c r="W18" s="4"/>
    </row>
    <row r="19" spans="1:23" x14ac:dyDescent="0.35">
      <c r="A19" s="2" t="s">
        <v>11</v>
      </c>
      <c r="B19" s="1">
        <f t="shared" ref="B19:J19" si="16">IF(B18&gt;B2*2,B2*2,B18)</f>
        <v>0</v>
      </c>
      <c r="C19" s="1">
        <f t="shared" si="16"/>
        <v>0</v>
      </c>
      <c r="D19" s="1">
        <f t="shared" si="16"/>
        <v>0</v>
      </c>
      <c r="E19" s="1">
        <f t="shared" si="16"/>
        <v>0</v>
      </c>
      <c r="F19" s="1">
        <f t="shared" si="16"/>
        <v>0</v>
      </c>
      <c r="G19" s="1">
        <f t="shared" si="16"/>
        <v>0</v>
      </c>
      <c r="H19" s="1">
        <f t="shared" si="16"/>
        <v>0</v>
      </c>
      <c r="I19" s="1">
        <f t="shared" si="16"/>
        <v>0</v>
      </c>
      <c r="J19" s="1">
        <f t="shared" si="16"/>
        <v>0</v>
      </c>
      <c r="K19" s="1">
        <f t="shared" si="0"/>
        <v>0</v>
      </c>
      <c r="L19" s="1">
        <v>59</v>
      </c>
      <c r="M19" s="1">
        <f t="shared" ref="M19:U19" si="17">IF(M18&gt;M2*2,M2*2,M18)</f>
        <v>4</v>
      </c>
      <c r="N19" s="1">
        <f t="shared" si="17"/>
        <v>7</v>
      </c>
      <c r="O19" s="1">
        <f t="shared" si="17"/>
        <v>6</v>
      </c>
      <c r="P19" s="1">
        <f t="shared" si="17"/>
        <v>7</v>
      </c>
      <c r="Q19" s="1">
        <f t="shared" si="17"/>
        <v>7</v>
      </c>
      <c r="R19" s="1">
        <f t="shared" si="17"/>
        <v>8</v>
      </c>
      <c r="S19" s="1">
        <f t="shared" si="17"/>
        <v>4</v>
      </c>
      <c r="T19" s="1">
        <f t="shared" si="17"/>
        <v>6</v>
      </c>
      <c r="U19" s="1">
        <f t="shared" si="17"/>
        <v>10</v>
      </c>
      <c r="V19" s="1">
        <f t="shared" si="1"/>
        <v>59</v>
      </c>
      <c r="W19" s="4">
        <f>V19-V2</f>
        <v>23</v>
      </c>
    </row>
  </sheetData>
  <pageMargins left="0.7" right="0.7" top="0.75" bottom="0.75" header="0.3" footer="0.3"/>
  <pageSetup orientation="portrait" r:id="rId1"/>
  <ignoredErrors>
    <ignoredError sqref="W5 W7 W9 W11 W13 W15 W17" formula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22"/>
  <sheetViews>
    <sheetView zoomScale="81" workbookViewId="0">
      <selection activeCell="E12" sqref="E12"/>
    </sheetView>
  </sheetViews>
  <sheetFormatPr defaultRowHeight="14.5" x14ac:dyDescent="0.35"/>
  <cols>
    <col min="4" max="4" width="9.7265625" customWidth="1"/>
    <col min="12" max="12" width="9.453125" bestFit="1" customWidth="1"/>
    <col min="18" max="18" width="10.1796875" bestFit="1" customWidth="1"/>
  </cols>
  <sheetData>
    <row r="1" spans="1:20" x14ac:dyDescent="0.35">
      <c r="A1" s="1" t="s">
        <v>1</v>
      </c>
      <c r="B1" s="1" t="s">
        <v>12</v>
      </c>
      <c r="C1" s="1" t="s">
        <v>13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51</v>
      </c>
      <c r="I1" s="1" t="s">
        <v>52</v>
      </c>
      <c r="J1" s="25" t="s">
        <v>54</v>
      </c>
      <c r="K1" s="24" t="s">
        <v>53</v>
      </c>
      <c r="L1" s="24" t="s">
        <v>56</v>
      </c>
      <c r="M1" s="22" t="s">
        <v>57</v>
      </c>
      <c r="N1" s="22" t="s">
        <v>55</v>
      </c>
    </row>
    <row r="2" spans="1:20" x14ac:dyDescent="0.35">
      <c r="A2" s="1" t="s">
        <v>5</v>
      </c>
      <c r="B2" s="2">
        <f>Wk1and2!K4</f>
        <v>64</v>
      </c>
      <c r="C2" s="2">
        <f>Wk1and2!V4</f>
        <v>61</v>
      </c>
      <c r="D2" s="2">
        <v>64</v>
      </c>
      <c r="E2" s="2">
        <v>0</v>
      </c>
      <c r="F2" s="2">
        <v>0</v>
      </c>
      <c r="G2" s="2">
        <v>60</v>
      </c>
      <c r="H2" s="2">
        <v>53</v>
      </c>
      <c r="I2" s="2">
        <v>56</v>
      </c>
      <c r="J2">
        <f>SUM(B2:I2)</f>
        <v>358</v>
      </c>
      <c r="K2" s="23">
        <v>6</v>
      </c>
      <c r="L2" s="26">
        <f>J2/K2</f>
        <v>59.666666666666664</v>
      </c>
      <c r="M2" s="27">
        <f>L2-E12</f>
        <v>24.041666666666664</v>
      </c>
      <c r="N2" s="2">
        <v>25.5</v>
      </c>
    </row>
    <row r="3" spans="1:20" x14ac:dyDescent="0.35">
      <c r="A3" s="1" t="s">
        <v>6</v>
      </c>
      <c r="B3" s="2">
        <f>Wk1and2!K6</f>
        <v>43</v>
      </c>
      <c r="C3" s="2">
        <f>Wk1and2!V6</f>
        <v>50</v>
      </c>
      <c r="D3" s="2">
        <v>43</v>
      </c>
      <c r="E3" s="2">
        <v>52</v>
      </c>
      <c r="F3" s="2">
        <v>49</v>
      </c>
      <c r="G3" s="2">
        <v>0</v>
      </c>
      <c r="H3" s="2">
        <v>58</v>
      </c>
      <c r="I3" s="2">
        <v>0</v>
      </c>
      <c r="J3">
        <f t="shared" ref="J3:J9" si="0">SUM(B3:I3)</f>
        <v>295</v>
      </c>
      <c r="K3" s="23">
        <v>6</v>
      </c>
      <c r="L3" s="26">
        <f t="shared" ref="L3:L8" si="1">J3/K3</f>
        <v>49.166666666666664</v>
      </c>
      <c r="M3" s="27">
        <f>L3-E12</f>
        <v>13.541666666666664</v>
      </c>
      <c r="N3" s="2">
        <v>10.5</v>
      </c>
    </row>
    <row r="4" spans="1:20" x14ac:dyDescent="0.35">
      <c r="A4" s="1" t="s">
        <v>7</v>
      </c>
      <c r="B4" s="2">
        <f>Wk1and2!K8</f>
        <v>42</v>
      </c>
      <c r="C4" s="2">
        <f>Wk1and2!V8</f>
        <v>44</v>
      </c>
      <c r="D4" s="2">
        <v>43</v>
      </c>
      <c r="E4" s="2">
        <v>44</v>
      </c>
      <c r="F4" s="2">
        <v>39</v>
      </c>
      <c r="G4" s="2">
        <v>42</v>
      </c>
      <c r="H4" s="2">
        <v>41</v>
      </c>
      <c r="I4" s="2">
        <v>41</v>
      </c>
      <c r="J4">
        <f t="shared" si="0"/>
        <v>336</v>
      </c>
      <c r="K4" s="23">
        <v>8</v>
      </c>
      <c r="L4" s="26">
        <f t="shared" si="1"/>
        <v>42</v>
      </c>
      <c r="M4" s="27">
        <f>L4-E12</f>
        <v>6.375</v>
      </c>
      <c r="N4" s="2">
        <v>7</v>
      </c>
    </row>
    <row r="5" spans="1:20" x14ac:dyDescent="0.35">
      <c r="A5" s="1" t="s">
        <v>0</v>
      </c>
      <c r="B5" s="2">
        <f>Wk1and2!K10</f>
        <v>62</v>
      </c>
      <c r="C5" s="2">
        <f>Wk1and2!V10</f>
        <v>58</v>
      </c>
      <c r="D5" s="2">
        <v>62</v>
      </c>
      <c r="E5" s="2">
        <v>61</v>
      </c>
      <c r="F5" s="2">
        <v>60</v>
      </c>
      <c r="G5" s="2">
        <v>60</v>
      </c>
      <c r="H5" s="2">
        <v>56</v>
      </c>
      <c r="I5" s="2">
        <v>56</v>
      </c>
      <c r="J5">
        <f t="shared" si="0"/>
        <v>475</v>
      </c>
      <c r="K5" s="6">
        <v>8</v>
      </c>
      <c r="L5" s="26">
        <f t="shared" si="1"/>
        <v>59.375</v>
      </c>
      <c r="M5" s="27">
        <f>L5-E12</f>
        <v>23.75</v>
      </c>
      <c r="N5" s="2">
        <v>22</v>
      </c>
    </row>
    <row r="6" spans="1:20" x14ac:dyDescent="0.35">
      <c r="A6" s="1" t="s">
        <v>2</v>
      </c>
      <c r="B6" s="2">
        <f>Wk1and2!K12</f>
        <v>52</v>
      </c>
      <c r="C6" s="2">
        <f>Wk1and2!V12</f>
        <v>45</v>
      </c>
      <c r="D6" s="2">
        <v>44</v>
      </c>
      <c r="E6" s="2">
        <v>42</v>
      </c>
      <c r="F6" s="2">
        <v>38</v>
      </c>
      <c r="G6" s="2">
        <v>41</v>
      </c>
      <c r="H6" s="2">
        <v>0</v>
      </c>
      <c r="I6" s="2">
        <v>41</v>
      </c>
      <c r="J6">
        <f t="shared" si="0"/>
        <v>303</v>
      </c>
      <c r="K6" s="6">
        <v>7</v>
      </c>
      <c r="L6" s="26">
        <f t="shared" si="1"/>
        <v>43.285714285714285</v>
      </c>
      <c r="M6" s="27">
        <f>L6-E12</f>
        <v>7.6607142857142847</v>
      </c>
      <c r="N6" s="2">
        <v>12.5</v>
      </c>
    </row>
    <row r="7" spans="1:20" x14ac:dyDescent="0.35">
      <c r="A7" s="1" t="s">
        <v>3</v>
      </c>
      <c r="B7" s="2">
        <f>Wk1and2!K14</f>
        <v>45</v>
      </c>
      <c r="C7" s="2">
        <f>Wk1and2!V14</f>
        <v>51</v>
      </c>
      <c r="D7" s="2">
        <v>42</v>
      </c>
      <c r="E7" s="2">
        <v>45</v>
      </c>
      <c r="F7" s="2">
        <v>42</v>
      </c>
      <c r="G7" s="2">
        <v>46</v>
      </c>
      <c r="H7" s="2">
        <v>0</v>
      </c>
      <c r="I7" s="2">
        <v>44</v>
      </c>
      <c r="J7">
        <f t="shared" si="0"/>
        <v>315</v>
      </c>
      <c r="K7" s="6">
        <v>7</v>
      </c>
      <c r="L7" s="26">
        <f t="shared" si="1"/>
        <v>45</v>
      </c>
      <c r="M7" s="27">
        <f>L7-E12</f>
        <v>9.375</v>
      </c>
      <c r="N7" s="2">
        <v>12</v>
      </c>
    </row>
    <row r="8" spans="1:20" x14ac:dyDescent="0.35">
      <c r="A8" s="1" t="s">
        <v>4</v>
      </c>
      <c r="B8" s="2">
        <f>Wk1and2!K16</f>
        <v>47</v>
      </c>
      <c r="C8" s="2">
        <f>Wk1and2!V16</f>
        <v>50</v>
      </c>
      <c r="D8" s="2">
        <v>49</v>
      </c>
      <c r="E8" s="2">
        <v>46</v>
      </c>
      <c r="F8" s="2">
        <v>39</v>
      </c>
      <c r="G8" s="2">
        <v>50</v>
      </c>
      <c r="H8" s="2">
        <v>43</v>
      </c>
      <c r="I8" s="2">
        <v>45</v>
      </c>
      <c r="J8">
        <f t="shared" si="0"/>
        <v>369</v>
      </c>
      <c r="K8" s="6">
        <v>8</v>
      </c>
      <c r="L8" s="26">
        <f t="shared" si="1"/>
        <v>46.125</v>
      </c>
      <c r="M8" s="27">
        <f>L8-E12</f>
        <v>10.5</v>
      </c>
      <c r="N8" s="2">
        <v>12.5</v>
      </c>
    </row>
    <row r="9" spans="1:20" x14ac:dyDescent="0.35">
      <c r="A9" s="1" t="s">
        <v>8</v>
      </c>
      <c r="B9" s="2">
        <v>59</v>
      </c>
      <c r="C9" s="2">
        <f>Wk1and2!V18</f>
        <v>69</v>
      </c>
      <c r="D9" s="2">
        <v>0</v>
      </c>
      <c r="E9" s="2">
        <v>62</v>
      </c>
      <c r="F9" s="2">
        <v>52</v>
      </c>
      <c r="G9" s="2">
        <v>61</v>
      </c>
      <c r="H9" s="2">
        <v>69</v>
      </c>
      <c r="I9" s="2">
        <v>54</v>
      </c>
      <c r="J9">
        <f t="shared" si="0"/>
        <v>426</v>
      </c>
      <c r="K9" s="6">
        <v>7</v>
      </c>
      <c r="L9" s="26">
        <f>J9/K9</f>
        <v>60.857142857142854</v>
      </c>
      <c r="M9" s="27">
        <f>L9-E12</f>
        <v>25.232142857142854</v>
      </c>
      <c r="N9" s="2">
        <v>23</v>
      </c>
    </row>
    <row r="12" spans="1:20" x14ac:dyDescent="0.35">
      <c r="D12" t="s">
        <v>58</v>
      </c>
      <c r="E12" s="26">
        <v>35.625</v>
      </c>
    </row>
    <row r="14" spans="1:20" x14ac:dyDescent="0.35">
      <c r="A14" s="1" t="s">
        <v>1</v>
      </c>
      <c r="B14" s="1" t="s">
        <v>12</v>
      </c>
      <c r="C14" s="1" t="s">
        <v>13</v>
      </c>
      <c r="D14" s="1" t="s">
        <v>23</v>
      </c>
      <c r="E14" s="1" t="s">
        <v>24</v>
      </c>
      <c r="F14" s="1" t="s">
        <v>25</v>
      </c>
      <c r="G14" s="1" t="s">
        <v>26</v>
      </c>
      <c r="H14" s="1" t="s">
        <v>51</v>
      </c>
      <c r="I14" s="1" t="s">
        <v>52</v>
      </c>
      <c r="J14" s="1" t="s">
        <v>77</v>
      </c>
      <c r="K14" s="1" t="s">
        <v>78</v>
      </c>
      <c r="L14" s="1" t="s">
        <v>79</v>
      </c>
      <c r="M14" s="1" t="s">
        <v>80</v>
      </c>
      <c r="N14" s="1" t="s">
        <v>81</v>
      </c>
      <c r="O14" s="1" t="s">
        <v>82</v>
      </c>
      <c r="P14" s="25" t="s">
        <v>54</v>
      </c>
      <c r="Q14" s="25" t="s">
        <v>53</v>
      </c>
      <c r="R14" s="25" t="s">
        <v>83</v>
      </c>
      <c r="S14" s="25" t="s">
        <v>57</v>
      </c>
      <c r="T14" s="25" t="s">
        <v>55</v>
      </c>
    </row>
    <row r="15" spans="1:20" x14ac:dyDescent="0.35">
      <c r="A15" s="1" t="s">
        <v>5</v>
      </c>
      <c r="B15" s="2">
        <v>64</v>
      </c>
      <c r="C15" s="2">
        <v>61</v>
      </c>
      <c r="D15" s="2">
        <v>64</v>
      </c>
      <c r="E15" s="2">
        <v>0</v>
      </c>
      <c r="F15" s="2">
        <v>0</v>
      </c>
      <c r="G15" s="2">
        <v>60</v>
      </c>
      <c r="H15" s="2">
        <v>53</v>
      </c>
      <c r="I15" s="2">
        <v>56</v>
      </c>
      <c r="J15" s="2">
        <v>64</v>
      </c>
      <c r="K15" s="2">
        <v>63</v>
      </c>
      <c r="L15" s="2">
        <v>55</v>
      </c>
      <c r="M15" s="2">
        <v>60</v>
      </c>
      <c r="N15" s="2">
        <v>58</v>
      </c>
      <c r="O15" s="2">
        <v>61</v>
      </c>
      <c r="P15">
        <f>SUM(B15:O15)</f>
        <v>719</v>
      </c>
      <c r="Q15" s="23">
        <v>12</v>
      </c>
      <c r="R15" s="26">
        <f>P15/Q15</f>
        <v>59.916666666666664</v>
      </c>
      <c r="S15" s="27">
        <v>24.291666666666664</v>
      </c>
      <c r="T15" s="2">
        <v>24</v>
      </c>
    </row>
    <row r="16" spans="1:20" x14ac:dyDescent="0.35">
      <c r="A16" s="1" t="s">
        <v>6</v>
      </c>
      <c r="B16" s="2">
        <v>43</v>
      </c>
      <c r="C16" s="2">
        <v>50</v>
      </c>
      <c r="D16" s="2">
        <v>43</v>
      </c>
      <c r="E16" s="2">
        <v>52</v>
      </c>
      <c r="F16" s="2">
        <v>49</v>
      </c>
      <c r="G16" s="2">
        <v>0</v>
      </c>
      <c r="H16" s="2">
        <v>58</v>
      </c>
      <c r="I16" s="2">
        <v>0</v>
      </c>
      <c r="J16" s="2">
        <v>49</v>
      </c>
      <c r="K16" s="2">
        <v>41</v>
      </c>
      <c r="L16" s="2">
        <v>51</v>
      </c>
      <c r="M16" s="2">
        <v>47</v>
      </c>
      <c r="N16" s="2">
        <v>0</v>
      </c>
      <c r="O16" s="2">
        <v>0</v>
      </c>
      <c r="P16">
        <f t="shared" ref="P16:P22" si="2">SUM(B16:O16)</f>
        <v>483</v>
      </c>
      <c r="Q16" s="23">
        <v>10</v>
      </c>
      <c r="R16" s="26">
        <f t="shared" ref="R16:R22" si="3">P16/Q16</f>
        <v>48.3</v>
      </c>
      <c r="S16" s="27">
        <v>12.674999999999997</v>
      </c>
      <c r="T16" s="2">
        <v>14</v>
      </c>
    </row>
    <row r="17" spans="1:20" x14ac:dyDescent="0.35">
      <c r="A17" s="1" t="s">
        <v>7</v>
      </c>
      <c r="B17" s="2">
        <v>42</v>
      </c>
      <c r="C17" s="2">
        <v>44</v>
      </c>
      <c r="D17" s="2">
        <v>43</v>
      </c>
      <c r="E17" s="2">
        <v>44</v>
      </c>
      <c r="F17" s="2">
        <v>39</v>
      </c>
      <c r="G17" s="2">
        <v>42</v>
      </c>
      <c r="H17" s="2">
        <v>41</v>
      </c>
      <c r="I17" s="2">
        <v>41</v>
      </c>
      <c r="J17" s="2">
        <v>46</v>
      </c>
      <c r="K17" s="2">
        <v>0</v>
      </c>
      <c r="L17" s="2">
        <v>0</v>
      </c>
      <c r="M17" s="2">
        <v>47</v>
      </c>
      <c r="N17" s="2">
        <v>45</v>
      </c>
      <c r="O17" s="2">
        <v>0</v>
      </c>
      <c r="P17">
        <f t="shared" si="2"/>
        <v>474</v>
      </c>
      <c r="Q17" s="23">
        <v>11</v>
      </c>
      <c r="R17" s="26">
        <f t="shared" si="3"/>
        <v>43.090909090909093</v>
      </c>
      <c r="S17" s="27">
        <v>7.4659090909090935</v>
      </c>
      <c r="T17" s="2">
        <v>6</v>
      </c>
    </row>
    <row r="18" spans="1:20" x14ac:dyDescent="0.35">
      <c r="A18" s="1" t="s">
        <v>0</v>
      </c>
      <c r="B18" s="2">
        <v>62</v>
      </c>
      <c r="C18" s="2">
        <v>58</v>
      </c>
      <c r="D18" s="2">
        <v>62</v>
      </c>
      <c r="E18" s="2">
        <v>61</v>
      </c>
      <c r="F18" s="2">
        <v>60</v>
      </c>
      <c r="G18" s="2">
        <v>60</v>
      </c>
      <c r="H18" s="2">
        <v>56</v>
      </c>
      <c r="I18" s="2">
        <v>56</v>
      </c>
      <c r="J18" s="2">
        <v>51</v>
      </c>
      <c r="K18" s="2">
        <v>53</v>
      </c>
      <c r="L18" s="2">
        <v>0</v>
      </c>
      <c r="M18" s="2">
        <v>50</v>
      </c>
      <c r="N18" s="2">
        <v>0</v>
      </c>
      <c r="O18" s="2">
        <v>0</v>
      </c>
      <c r="P18">
        <f t="shared" si="2"/>
        <v>629</v>
      </c>
      <c r="Q18" s="6">
        <v>11</v>
      </c>
      <c r="R18" s="26">
        <f>P18/Q18</f>
        <v>57.18181818181818</v>
      </c>
      <c r="S18" s="27">
        <v>21.55681818181818</v>
      </c>
      <c r="T18" s="2">
        <v>24</v>
      </c>
    </row>
    <row r="19" spans="1:20" x14ac:dyDescent="0.35">
      <c r="A19" s="1" t="s">
        <v>2</v>
      </c>
      <c r="B19" s="2">
        <v>52</v>
      </c>
      <c r="C19" s="2">
        <v>45</v>
      </c>
      <c r="D19" s="2">
        <v>44</v>
      </c>
      <c r="E19" s="2">
        <v>42</v>
      </c>
      <c r="F19" s="2">
        <v>38</v>
      </c>
      <c r="G19" s="2">
        <v>41</v>
      </c>
      <c r="H19" s="2">
        <v>0</v>
      </c>
      <c r="I19" s="2">
        <v>41</v>
      </c>
      <c r="J19" s="2">
        <v>45</v>
      </c>
      <c r="K19" s="2">
        <v>40</v>
      </c>
      <c r="L19" s="2">
        <v>38</v>
      </c>
      <c r="M19" s="2">
        <v>41</v>
      </c>
      <c r="N19" s="2">
        <v>45</v>
      </c>
      <c r="O19" s="2">
        <v>47</v>
      </c>
      <c r="P19">
        <f t="shared" si="2"/>
        <v>559</v>
      </c>
      <c r="Q19" s="6">
        <v>13</v>
      </c>
      <c r="R19" s="26">
        <f t="shared" si="3"/>
        <v>43</v>
      </c>
      <c r="S19" s="27">
        <v>7.375</v>
      </c>
      <c r="T19" s="2">
        <v>8</v>
      </c>
    </row>
    <row r="20" spans="1:20" x14ac:dyDescent="0.35">
      <c r="A20" s="1" t="s">
        <v>3</v>
      </c>
      <c r="B20" s="2">
        <v>45</v>
      </c>
      <c r="C20" s="2">
        <v>51</v>
      </c>
      <c r="D20" s="2">
        <v>42</v>
      </c>
      <c r="E20" s="2">
        <v>45</v>
      </c>
      <c r="F20" s="2">
        <v>42</v>
      </c>
      <c r="G20" s="2">
        <v>46</v>
      </c>
      <c r="H20" s="2">
        <v>0</v>
      </c>
      <c r="I20" s="2">
        <v>44</v>
      </c>
      <c r="J20" s="2">
        <v>38</v>
      </c>
      <c r="K20" s="2">
        <v>42</v>
      </c>
      <c r="L20" s="2">
        <v>41</v>
      </c>
      <c r="M20" s="2">
        <v>46</v>
      </c>
      <c r="N20" s="2">
        <v>40</v>
      </c>
      <c r="O20" s="2">
        <v>42</v>
      </c>
      <c r="P20">
        <f t="shared" si="2"/>
        <v>564</v>
      </c>
      <c r="Q20" s="6">
        <v>13</v>
      </c>
      <c r="R20" s="26">
        <f t="shared" si="3"/>
        <v>43.384615384615387</v>
      </c>
      <c r="S20" s="27">
        <v>7.7596153846153868</v>
      </c>
      <c r="T20" s="2">
        <v>9</v>
      </c>
    </row>
    <row r="21" spans="1:20" x14ac:dyDescent="0.35">
      <c r="A21" s="1" t="s">
        <v>4</v>
      </c>
      <c r="B21" s="2">
        <v>47</v>
      </c>
      <c r="C21" s="2">
        <v>50</v>
      </c>
      <c r="D21" s="2">
        <v>49</v>
      </c>
      <c r="E21" s="2">
        <v>46</v>
      </c>
      <c r="F21" s="2">
        <v>39</v>
      </c>
      <c r="G21" s="2">
        <v>50</v>
      </c>
      <c r="H21" s="2">
        <v>43</v>
      </c>
      <c r="I21" s="2">
        <v>45</v>
      </c>
      <c r="J21" s="2">
        <v>47</v>
      </c>
      <c r="K21" s="2">
        <v>44</v>
      </c>
      <c r="L21" s="2">
        <v>42</v>
      </c>
      <c r="M21" s="2">
        <v>47</v>
      </c>
      <c r="N21" s="2">
        <v>40</v>
      </c>
      <c r="O21" s="2">
        <v>53</v>
      </c>
      <c r="P21">
        <f t="shared" si="2"/>
        <v>642</v>
      </c>
      <c r="Q21" s="6">
        <v>14</v>
      </c>
      <c r="R21" s="26">
        <f t="shared" si="3"/>
        <v>45.857142857142854</v>
      </c>
      <c r="S21" s="27">
        <v>10.232142857142854</v>
      </c>
      <c r="T21" s="2">
        <v>11</v>
      </c>
    </row>
    <row r="22" spans="1:20" x14ac:dyDescent="0.35">
      <c r="A22" s="1" t="s">
        <v>8</v>
      </c>
      <c r="B22" s="2">
        <v>59</v>
      </c>
      <c r="C22" s="2">
        <v>69</v>
      </c>
      <c r="D22" s="2">
        <v>0</v>
      </c>
      <c r="E22" s="2">
        <v>62</v>
      </c>
      <c r="F22" s="2">
        <v>52</v>
      </c>
      <c r="G22" s="2">
        <v>61</v>
      </c>
      <c r="H22" s="2">
        <v>69</v>
      </c>
      <c r="I22" s="2">
        <v>54</v>
      </c>
      <c r="J22" s="2">
        <v>0</v>
      </c>
      <c r="K22" s="2">
        <v>73</v>
      </c>
      <c r="L22" s="2">
        <v>54</v>
      </c>
      <c r="M22" s="2">
        <v>60</v>
      </c>
      <c r="N22" s="2">
        <v>55</v>
      </c>
      <c r="O22" s="2">
        <v>59</v>
      </c>
      <c r="P22">
        <f t="shared" si="2"/>
        <v>727</v>
      </c>
      <c r="Q22" s="6">
        <v>12</v>
      </c>
      <c r="R22" s="26">
        <f t="shared" si="3"/>
        <v>60.583333333333336</v>
      </c>
      <c r="S22" s="27">
        <v>24.958333333333336</v>
      </c>
      <c r="T22" s="2">
        <v>25</v>
      </c>
    </row>
  </sheetData>
  <phoneticPr fontId="2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E62ACF17D5E3F469C8FAFBDEEB8A674" ma:contentTypeVersion="17" ma:contentTypeDescription="Create a new document." ma:contentTypeScope="" ma:versionID="9b5baddeb4114400ec904326a27e9a00">
  <xsd:schema xmlns:xsd="http://www.w3.org/2001/XMLSchema" xmlns:xs="http://www.w3.org/2001/XMLSchema" xmlns:p="http://schemas.microsoft.com/office/2006/metadata/properties" xmlns:ns3="5253c323-5aa8-45a7-b9ed-89d5c0bacc01" xmlns:ns4="1e9d2ffc-88e3-4d3a-b13f-82dfcf4c2743" targetNamespace="http://schemas.microsoft.com/office/2006/metadata/properties" ma:root="true" ma:fieldsID="977da37a3239944c0a871dc1213de643" ns3:_="" ns4:_="">
    <xsd:import namespace="5253c323-5aa8-45a7-b9ed-89d5c0bacc01"/>
    <xsd:import namespace="1e9d2ffc-88e3-4d3a-b13f-82dfcf4c274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53c323-5aa8-45a7-b9ed-89d5c0bacc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9d2ffc-88e3-4d3a-b13f-82dfcf4c2743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253c323-5aa8-45a7-b9ed-89d5c0bacc01" xsi:nil="true"/>
  </documentManagement>
</p:properties>
</file>

<file path=customXml/itemProps1.xml><?xml version="1.0" encoding="utf-8"?>
<ds:datastoreItem xmlns:ds="http://schemas.openxmlformats.org/officeDocument/2006/customXml" ds:itemID="{B572DAF4-D1BF-439B-BDDE-2345F3248F1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E02A390-E0F2-4B5B-B090-2A2173CF2A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53c323-5aa8-45a7-b9ed-89d5c0bacc01"/>
    <ds:schemaRef ds:uri="1e9d2ffc-88e3-4d3a-b13f-82dfcf4c27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494F560-BCAE-4179-9332-A6DAAB39DCC8}">
  <ds:schemaRefs>
    <ds:schemaRef ds:uri="1e9d2ffc-88e3-4d3a-b13f-82dfcf4c2743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5253c323-5aa8-45a7-b9ed-89d5c0bacc01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Sheet2</vt:lpstr>
      <vt:lpstr>Leaderboard 2026</vt:lpstr>
      <vt:lpstr>Tournament 3 (2026)</vt:lpstr>
      <vt:lpstr>Tournament 2 (2026)</vt:lpstr>
      <vt:lpstr>Tournament 1 (2026)</vt:lpstr>
      <vt:lpstr>Handicap Summary 2026</vt:lpstr>
      <vt:lpstr>Total Prize Money Overall</vt:lpstr>
      <vt:lpstr>Total Prize Money 2026</vt:lpstr>
      <vt:lpstr>Cash Games</vt:lpstr>
      <vt:lpstr>Wk1and2 2026</vt:lpstr>
      <vt:lpstr>New Adj Cap 2026</vt:lpstr>
      <vt:lpstr>Total Prize Money 2025</vt:lpstr>
      <vt:lpstr>Leaderboard 2025</vt:lpstr>
      <vt:lpstr>Tournament 1</vt:lpstr>
      <vt:lpstr>Tournament 1 w adj</vt:lpstr>
      <vt:lpstr>Tournament 2</vt:lpstr>
      <vt:lpstr>Tournament 3</vt:lpstr>
      <vt:lpstr>Handicap Summary</vt:lpstr>
      <vt:lpstr>Wk1and2</vt:lpstr>
      <vt:lpstr>New Adj Cap</vt:lpstr>
    </vt:vector>
  </TitlesOfParts>
  <Company>Weston Foods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Shea Riley (WF)</dc:creator>
  <cp:lastModifiedBy>Shea Riley (WB)</cp:lastModifiedBy>
  <dcterms:created xsi:type="dcterms:W3CDTF">2024-11-15T20:51:28Z</dcterms:created>
  <dcterms:modified xsi:type="dcterms:W3CDTF">2026-04-03T03:43:16Z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0x010100EE62ACF17D5E3F469C8FAFBDEEB8A674</vt:lpwstr>
  </property>
</Properties>
</file>